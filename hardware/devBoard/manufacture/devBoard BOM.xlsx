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Chris\Documents\GitHub\Embedded-Systems-Instructor\hardware\devBoard\manufacture\"/>
    </mc:Choice>
  </mc:AlternateContent>
  <xr:revisionPtr revIDLastSave="0" documentId="13_ncr:1_{EF451763-B87C-4524-A940-B881E3C9629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clusive" sheetId="4" r:id="rId1"/>
    <sheet name="JLCPCB" sheetId="5" r:id="rId2"/>
    <sheet name="LCSC Part#" sheetId="6" r:id="rId3"/>
  </sheets>
  <definedNames>
    <definedName name="description" localSheetId="0">Inclusive!$E$42</definedName>
    <definedName name="distributors" localSheetId="0">Inclusive!$E$278</definedName>
    <definedName name="learn" localSheetId="0">Inclusive!$E$70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8" i="5" l="1"/>
  <c r="D17" i="5"/>
  <c r="D21" i="5"/>
  <c r="D22" i="5"/>
  <c r="D23" i="5"/>
  <c r="D24" i="5"/>
  <c r="D25" i="5"/>
  <c r="D26" i="5"/>
  <c r="D27" i="5"/>
  <c r="D29" i="5"/>
  <c r="D30" i="5"/>
  <c r="D20" i="5"/>
  <c r="D12" i="5"/>
  <c r="D13" i="5"/>
  <c r="D14" i="5"/>
  <c r="D15" i="5"/>
  <c r="D11" i="5"/>
  <c r="D3" i="5"/>
  <c r="D4" i="5"/>
  <c r="D5" i="5"/>
  <c r="D6" i="5"/>
  <c r="D7" i="5"/>
  <c r="D8" i="5"/>
  <c r="D9" i="5"/>
  <c r="D2" i="5"/>
  <c r="C41" i="4"/>
  <c r="J41" i="4"/>
  <c r="M18" i="4"/>
  <c r="N18" i="4"/>
  <c r="M19" i="4"/>
  <c r="N19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N41" i="4" l="1"/>
  <c r="M41" i="4"/>
</calcChain>
</file>

<file path=xl/sharedStrings.xml><?xml version="1.0" encoding="utf-8"?>
<sst xmlns="http://schemas.openxmlformats.org/spreadsheetml/2006/main" count="330" uniqueCount="225">
  <si>
    <t>A31727CT-ND</t>
  </si>
  <si>
    <t>1734035-2</t>
  </si>
  <si>
    <t>Tyco</t>
  </si>
  <si>
    <t>LittleFuse</t>
  </si>
  <si>
    <t>F2864CT-ND</t>
  </si>
  <si>
    <t>1206L012WR</t>
  </si>
  <si>
    <t>Panasonic</t>
  </si>
  <si>
    <t>Kemet</t>
  </si>
  <si>
    <t>Lite-On</t>
  </si>
  <si>
    <t>OPA344NACT-ND</t>
  </si>
  <si>
    <t>OPA344NA/250</t>
  </si>
  <si>
    <t>Texas</t>
  </si>
  <si>
    <t>Custom</t>
  </si>
  <si>
    <t>C1206</t>
  </si>
  <si>
    <t>Vishay</t>
  </si>
  <si>
    <t>LTST-C150GKT</t>
  </si>
  <si>
    <t>160-1169-1-ND</t>
  </si>
  <si>
    <t>D1206</t>
  </si>
  <si>
    <t>Molex</t>
  </si>
  <si>
    <t>0.1" header</t>
  </si>
  <si>
    <t>FCI</t>
  </si>
  <si>
    <t>CUI</t>
  </si>
  <si>
    <t>custom</t>
  </si>
  <si>
    <t>R1206</t>
  </si>
  <si>
    <t>8 SOIC</t>
  </si>
  <si>
    <t>28-SSOP</t>
  </si>
  <si>
    <t>SOT23-5</t>
  </si>
  <si>
    <t>Future Tech</t>
  </si>
  <si>
    <t>102-1720-ND</t>
  </si>
  <si>
    <t>CMA-6542PF</t>
  </si>
  <si>
    <t>9.7mm</t>
  </si>
  <si>
    <t>Microchips</t>
  </si>
  <si>
    <t>TI</t>
  </si>
  <si>
    <t>Foot</t>
  </si>
  <si>
    <t>2x4</t>
  </si>
  <si>
    <t>LM4862MX/NOPBCT-ND</t>
  </si>
  <si>
    <t>LM4862MX/NOPB</t>
  </si>
  <si>
    <t>ERJ-8GEYJ222V</t>
  </si>
  <si>
    <t>ERJ-8GEYJ390V</t>
  </si>
  <si>
    <t>P39ECT-ND</t>
  </si>
  <si>
    <t>P100ECT-ND</t>
  </si>
  <si>
    <t>ERJ-8GEYJ101V</t>
  </si>
  <si>
    <t>P300ECT-ND</t>
  </si>
  <si>
    <t>ERJ-8GEYJ301V</t>
  </si>
  <si>
    <t>P1.0MECT-ND</t>
  </si>
  <si>
    <t>ERJ-8GEYJ105V</t>
  </si>
  <si>
    <t>Phoenix Contact</t>
  </si>
  <si>
    <t>277-1273-ND</t>
  </si>
  <si>
    <t>part# 1725656</t>
  </si>
  <si>
    <t>609-3226-ND</t>
  </si>
  <si>
    <t>67997-108HLF</t>
  </si>
  <si>
    <t>SOT-23</t>
  </si>
  <si>
    <t>P910ECT-ND</t>
  </si>
  <si>
    <t>ERJ-8GEYJ911V</t>
  </si>
  <si>
    <t>SOT-23-3</t>
  </si>
  <si>
    <t>296-46086-1-ND</t>
  </si>
  <si>
    <t>DRV5053CAQDBZT</t>
  </si>
  <si>
    <t>768-1135-1-ND</t>
  </si>
  <si>
    <t>16-SSOP</t>
  </si>
  <si>
    <t>FT230XS-R</t>
  </si>
  <si>
    <t>P2.20KFCT-ND</t>
  </si>
  <si>
    <t>399-8191-1-ND</t>
  </si>
  <si>
    <t>C1206C470K5GACTU</t>
  </si>
  <si>
    <t>311-2.20FRCT-ND</t>
  </si>
  <si>
    <t>RC1206FR-072R2L</t>
  </si>
  <si>
    <t>Yageo</t>
  </si>
  <si>
    <t>Samsung</t>
  </si>
  <si>
    <t>475-3047-6-ND</t>
  </si>
  <si>
    <t>OSRAM</t>
  </si>
  <si>
    <t>SFH 4045N</t>
  </si>
  <si>
    <t>541-3983-1-ND</t>
  </si>
  <si>
    <t>Vishay Dale</t>
  </si>
  <si>
    <t>CRCW120610K0FKEAC</t>
  </si>
  <si>
    <t>4-PLCC</t>
  </si>
  <si>
    <t>CLVBA-FKA-CAEDH8BBB7A363CT-ND</t>
  </si>
  <si>
    <t>CLVBA-FKA-CAEDH8BBB7A363</t>
  </si>
  <si>
    <t>Cree</t>
  </si>
  <si>
    <t>MMBT2222A-FDICT-ND</t>
  </si>
  <si>
    <t>MMBT2222A-7-F</t>
  </si>
  <si>
    <t>Diodes Incorporated</t>
  </si>
  <si>
    <t>2.2 ohm</t>
  </si>
  <si>
    <t>39 ohm</t>
  </si>
  <si>
    <t>100 ohms</t>
  </si>
  <si>
    <t>300 ohm</t>
  </si>
  <si>
    <t>910 ohm</t>
  </si>
  <si>
    <t>2.2k ohm</t>
  </si>
  <si>
    <t>10k ohm</t>
  </si>
  <si>
    <t>1M ohm</t>
  </si>
  <si>
    <t>PTC fuse</t>
  </si>
  <si>
    <t>47pF</t>
  </si>
  <si>
    <t>0.1uF</t>
  </si>
  <si>
    <t>1uF</t>
  </si>
  <si>
    <t>10uF</t>
  </si>
  <si>
    <t>Right</t>
  </si>
  <si>
    <t>Mini USB conn</t>
  </si>
  <si>
    <t>2x4 header</t>
  </si>
  <si>
    <t>Electric Mic</t>
  </si>
  <si>
    <t>Terminal Block</t>
  </si>
  <si>
    <t>Serial USB bridge</t>
  </si>
  <si>
    <t xml:space="preserve">GP Opamp </t>
  </si>
  <si>
    <t>2N2222 NPN</t>
  </si>
  <si>
    <t>Audio Amp</t>
  </si>
  <si>
    <t>38kHz remote</t>
  </si>
  <si>
    <t>Green SM</t>
  </si>
  <si>
    <t>Red SM</t>
  </si>
  <si>
    <t>IR LED</t>
  </si>
  <si>
    <t>RGB LED</t>
  </si>
  <si>
    <t>Hall Effect</t>
  </si>
  <si>
    <t>1276-1783-1-ND</t>
  </si>
  <si>
    <t>CL31B105KOFNNNE</t>
  </si>
  <si>
    <t>Tactile Switch SPST-NO Top Actuated Surface Mount</t>
  </si>
  <si>
    <t>C&amp;K</t>
  </si>
  <si>
    <t>PTS526 SMG15 SMTR2 LFS</t>
  </si>
  <si>
    <t>CKN12222-1-ND</t>
  </si>
  <si>
    <t>5.2mm</t>
  </si>
  <si>
    <t>MCP1703T-3302E/CBCT-ND</t>
  </si>
  <si>
    <t>MCP1703T-3302E/CB</t>
  </si>
  <si>
    <t>Linear Voltage Regulator IC  1 Output  250mA SOT-23A-3</t>
  </si>
  <si>
    <t>TSOP34438-ND</t>
  </si>
  <si>
    <t>TSOP34438</t>
  </si>
  <si>
    <t>1276-1079-1-ND</t>
  </si>
  <si>
    <t>CL31A106KQHNNNE</t>
  </si>
  <si>
    <t>SMT</t>
  </si>
  <si>
    <t>Through</t>
  </si>
  <si>
    <t>Value</t>
  </si>
  <si>
    <t>M02LOCK</t>
  </si>
  <si>
    <t>M03LOCK</t>
  </si>
  <si>
    <t>JP4</t>
  </si>
  <si>
    <t>M06LOCK</t>
  </si>
  <si>
    <t>SPEAKER</t>
  </si>
  <si>
    <t>JP8, JP9</t>
  </si>
  <si>
    <t>C3, C5, C6, C8, C11, C14, C16, C17, C18</t>
  </si>
  <si>
    <t>R12</t>
  </si>
  <si>
    <t>R5, R6, R7, R18, R19, R20, R21, R23</t>
  </si>
  <si>
    <t>C1, C7, C9, C12</t>
  </si>
  <si>
    <t>R9</t>
  </si>
  <si>
    <t>C10, C15, C19</t>
  </si>
  <si>
    <t>R2, R10</t>
  </si>
  <si>
    <t>R3, R15, R16</t>
  </si>
  <si>
    <t>Q1</t>
  </si>
  <si>
    <t>R8</t>
  </si>
  <si>
    <t>R1, R4, R13</t>
  </si>
  <si>
    <t>C2, C4, C13</t>
  </si>
  <si>
    <t>F2</t>
  </si>
  <si>
    <t>R11, R14, R22</t>
  </si>
  <si>
    <t>IC2</t>
  </si>
  <si>
    <t>IR1</t>
  </si>
  <si>
    <t>IC3</t>
  </si>
  <si>
    <t>LED5</t>
  </si>
  <si>
    <t>IC6</t>
  </si>
  <si>
    <t>MCP1703</t>
  </si>
  <si>
    <t>MICROPHONE</t>
  </si>
  <si>
    <t>BOT, RESET, TOP</t>
  </si>
  <si>
    <t>IC1, IC4</t>
  </si>
  <si>
    <t>LED6</t>
  </si>
  <si>
    <t>LED4</t>
  </si>
  <si>
    <t>X1</t>
  </si>
  <si>
    <t>LED3</t>
  </si>
  <si>
    <t>Designator</t>
  </si>
  <si>
    <t>5V, JP2, JP7, JP3</t>
  </si>
  <si>
    <t>JP11</t>
  </si>
  <si>
    <t>JP10, JP12</t>
  </si>
  <si>
    <t>WM8076-ND</t>
  </si>
  <si>
    <t>WM8072-ND</t>
  </si>
  <si>
    <t>WM8073-ND</t>
  </si>
  <si>
    <t>WM50025-06-ND</t>
  </si>
  <si>
    <t>Manufacture</t>
  </si>
  <si>
    <t>Mnf Part #</t>
  </si>
  <si>
    <t>Digikey Part</t>
  </si>
  <si>
    <t>Number</t>
  </si>
  <si>
    <t>#SMT</t>
  </si>
  <si>
    <t>#through</t>
  </si>
  <si>
    <t>CL31B104KBCNNNC</t>
  </si>
  <si>
    <t>1276-1017-1-ND</t>
  </si>
  <si>
    <t>Lumex</t>
  </si>
  <si>
    <t>SML-LX1206SRC-TR</t>
  </si>
  <si>
    <t>67-1359-1-ND</t>
  </si>
  <si>
    <t>PIC 18F25K22</t>
  </si>
  <si>
    <t>PIC18F25K22</t>
  </si>
  <si>
    <t>PIC18F25K22-I/SS</t>
  </si>
  <si>
    <t>PIC18F25K22-I/SS-ND</t>
  </si>
  <si>
    <t>Comment</t>
  </si>
  <si>
    <t>Footprint</t>
  </si>
  <si>
    <t>Part</t>
  </si>
  <si>
    <t>1206R</t>
  </si>
  <si>
    <t>C2907445</t>
  </si>
  <si>
    <t>C25379</t>
  </si>
  <si>
    <t>C17901</t>
  </si>
  <si>
    <t>C17887</t>
  </si>
  <si>
    <t>C2930433</t>
  </si>
  <si>
    <t>C17948</t>
  </si>
  <si>
    <t>C17902</t>
  </si>
  <si>
    <t>C17927</t>
  </si>
  <si>
    <t>1206C</t>
  </si>
  <si>
    <t>C5137553</t>
  </si>
  <si>
    <t>C24497</t>
  </si>
  <si>
    <t>C1848</t>
  </si>
  <si>
    <t>C13585</t>
  </si>
  <si>
    <t>5.2*5.2</t>
  </si>
  <si>
    <t>C5342990</t>
  </si>
  <si>
    <t>USB</t>
  </si>
  <si>
    <t>C91144</t>
  </si>
  <si>
    <t>SSOP-28</t>
  </si>
  <si>
    <t>C51680</t>
  </si>
  <si>
    <t>SSOP-16</t>
  </si>
  <si>
    <t>C69082</t>
  </si>
  <si>
    <t>C131974</t>
  </si>
  <si>
    <t>C50754</t>
  </si>
  <si>
    <t>SOIC-8</t>
  </si>
  <si>
    <t>C2860743</t>
  </si>
  <si>
    <t>1206D</t>
  </si>
  <si>
    <t>C2984261</t>
  </si>
  <si>
    <t>PLCC-4</t>
  </si>
  <si>
    <t>C5355897</t>
  </si>
  <si>
    <t>C962159</t>
  </si>
  <si>
    <t>JLC Part #</t>
  </si>
  <si>
    <t>LCSC Part #</t>
  </si>
  <si>
    <t>C455262</t>
  </si>
  <si>
    <t>C7494970</t>
  </si>
  <si>
    <t>C2764887</t>
  </si>
  <si>
    <t>C434442 </t>
  </si>
  <si>
    <t>C2898686</t>
  </si>
  <si>
    <t>C375458</t>
  </si>
  <si>
    <t>C51118</t>
  </si>
  <si>
    <t>C142747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</si>
</sst>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4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colors>
    <mruColors>
      <color rgb="FFD7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N38" headerRowCount="0" totalsRowShown="0" headerRowDxfId="39" dataDxfId="38">
  <tableColumns count="14">
    <tableColumn id="1" xr3:uid="{00000000-0010-0000-0000-000001000000}" name="Description" headerRowDxfId="37" dataDxfId="36"/>
    <tableColumn id="12" xr3:uid="{00000000-0010-0000-0000-00000C000000}" name="Column3" headerRowDxfId="35" dataDxfId="34"/>
    <tableColumn id="2" xr3:uid="{00000000-0010-0000-0000-000002000000}" name="Manf" headerRowDxfId="33" dataDxfId="32"/>
    <tableColumn id="3" xr3:uid="{00000000-0010-0000-0000-000003000000}" name="Manf Part #" headerRowDxfId="31" dataDxfId="30"/>
    <tableColumn id="4" xr3:uid="{00000000-0010-0000-0000-000004000000}" name="DigiKey Part #" headerRowDxfId="29" dataDxfId="28"/>
    <tableColumn id="14" xr3:uid="{35BB96B2-36D7-4209-B8F8-5562FE5CE59C}" name="Column5" headerRowDxfId="27" dataDxfId="26"/>
    <tableColumn id="13" xr3:uid="{C12B1CAA-091C-4545-9EA9-45AB59751B9E}" name="Column4" headerRowDxfId="25" dataDxfId="24"/>
    <tableColumn id="5" xr3:uid="{00000000-0010-0000-0000-000005000000}" name="Foot" headerRowDxfId="23" dataDxfId="22"/>
    <tableColumn id="6" xr3:uid="{00000000-0010-0000-0000-000006000000}" name="Unit Cost" headerRowDxfId="21" dataDxfId="20"/>
    <tableColumn id="7" xr3:uid="{00000000-0010-0000-0000-000007000000}" name="Per Qty" headerRowDxfId="19" dataDxfId="18"/>
    <tableColumn id="8" xr3:uid="{00000000-0010-0000-0000-000008000000}" name="SMT" headerRowDxfId="17" dataDxfId="16"/>
    <tableColumn id="9" xr3:uid="{00000000-0010-0000-0000-000009000000}" name="Through" headerRowDxfId="15" dataDxfId="14"/>
    <tableColumn id="10" xr3:uid="{00000000-0010-0000-0000-00000A000000}" name="Column1" headerRowDxfId="13" dataDxfId="12">
      <calculatedColumnFormula>Table1[[#This Row],[Per Qty]]*Table1[[#This Row],[SMT]]</calculatedColumnFormula>
    </tableColumn>
    <tableColumn id="11" xr3:uid="{00000000-0010-0000-0000-00000B000000}" name="Column2" headerRowDxfId="11" dataDxfId="10">
      <calculatedColumnFormula>Table1[[#This Row],[Per Qty]]*Table1[[#This Row],[Through]]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DD3722-4744-45B7-AAC2-EEF6E5F4E235}" name="Table134" displayName="Table134" ref="A2:C30" headerRowCount="0" totalsRowShown="0" headerRowDxfId="9" dataDxfId="8">
  <tableColumns count="3">
    <tableColumn id="1" xr3:uid="{602D18BC-E79A-4163-B949-6F6770052923}" name="Description" headerRowDxfId="7" dataDxfId="6"/>
    <tableColumn id="12" xr3:uid="{F735619E-9092-4B27-AE29-7EA4CBFA4D20}" name="Column3" headerRowDxfId="5" dataDxfId="4"/>
    <tableColumn id="5" xr3:uid="{9FCD173A-5CC7-4FDF-A725-E4790DF3492F}" name="Foot" headerRowDxfId="3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1"/>
  <sheetViews>
    <sheetView tabSelected="1" zoomScale="115" zoomScaleNormal="115" zoomScalePageLayoutView="115" workbookViewId="0">
      <pane xSplit="1" ySplit="1" topLeftCell="D8" activePane="bottomRight" state="frozen"/>
      <selection pane="topRight" activeCell="B1" sqref="B1"/>
      <selection pane="bottomLeft" activeCell="A2" sqref="A2"/>
      <selection pane="bottomRight" activeCell="O35" sqref="O35"/>
    </sheetView>
  </sheetViews>
  <sheetFormatPr defaultColWidth="9.109375" defaultRowHeight="13.2" x14ac:dyDescent="0.25"/>
  <cols>
    <col min="1" max="2" width="26.109375" style="1" customWidth="1"/>
    <col min="3" max="3" width="18.44140625" style="1" customWidth="1"/>
    <col min="4" max="4" width="19.33203125" style="1" bestFit="1" customWidth="1"/>
    <col min="5" max="5" width="25.44140625" style="1" customWidth="1"/>
    <col min="6" max="6" width="15.6640625" style="1" customWidth="1"/>
    <col min="7" max="7" width="12.109375" style="1" customWidth="1"/>
    <col min="8" max="8" width="9.109375" style="1"/>
    <col min="9" max="9" width="9.6640625" style="2" customWidth="1"/>
    <col min="10" max="10" width="9.109375" style="1"/>
    <col min="11" max="11" width="9.44140625" style="1" customWidth="1"/>
    <col min="12" max="16384" width="9.109375" style="1"/>
  </cols>
  <sheetData>
    <row r="1" spans="1:14" x14ac:dyDescent="0.25">
      <c r="A1" s="1" t="s">
        <v>124</v>
      </c>
      <c r="B1" s="1" t="s">
        <v>158</v>
      </c>
      <c r="C1" s="1" t="s">
        <v>166</v>
      </c>
      <c r="D1" s="1" t="s">
        <v>167</v>
      </c>
      <c r="E1" s="1" t="s">
        <v>168</v>
      </c>
      <c r="F1" s="1" t="s">
        <v>215</v>
      </c>
      <c r="G1" s="1" t="s">
        <v>216</v>
      </c>
      <c r="H1" s="1" t="s">
        <v>33</v>
      </c>
      <c r="I1" s="1"/>
      <c r="J1" s="1" t="s">
        <v>169</v>
      </c>
      <c r="K1" s="1" t="s">
        <v>122</v>
      </c>
      <c r="L1" s="1" t="s">
        <v>123</v>
      </c>
      <c r="M1" s="1" t="s">
        <v>170</v>
      </c>
      <c r="N1" s="1" t="s">
        <v>171</v>
      </c>
    </row>
    <row r="2" spans="1:14" s="3" customFormat="1" x14ac:dyDescent="0.25">
      <c r="A2" s="3" t="s">
        <v>80</v>
      </c>
      <c r="B2" s="3" t="s">
        <v>137</v>
      </c>
      <c r="C2" s="3" t="s">
        <v>65</v>
      </c>
      <c r="D2" s="1" t="s">
        <v>64</v>
      </c>
      <c r="E2" s="3" t="s">
        <v>63</v>
      </c>
      <c r="F2" s="3" t="s">
        <v>185</v>
      </c>
      <c r="H2" s="3" t="s">
        <v>23</v>
      </c>
      <c r="I2" s="4">
        <v>4.9200000000000001E-2</v>
      </c>
      <c r="J2" s="3">
        <v>2</v>
      </c>
      <c r="K2" s="1">
        <v>1</v>
      </c>
      <c r="L2" s="1"/>
      <c r="M2" s="3">
        <f>Table1[[#This Row],[Per Qty]]*Table1[[#This Row],[SMT]]</f>
        <v>2</v>
      </c>
      <c r="N2" s="3">
        <f>Table1[[#This Row],[Per Qty]]*Table1[[#This Row],[Through]]</f>
        <v>0</v>
      </c>
    </row>
    <row r="3" spans="1:14" s="3" customFormat="1" x14ac:dyDescent="0.25">
      <c r="A3" s="3" t="s">
        <v>81</v>
      </c>
      <c r="B3" s="1" t="s">
        <v>141</v>
      </c>
      <c r="C3" s="3" t="s">
        <v>6</v>
      </c>
      <c r="D3" s="1" t="s">
        <v>38</v>
      </c>
      <c r="E3" s="1" t="s">
        <v>39</v>
      </c>
      <c r="F3" s="3" t="s">
        <v>186</v>
      </c>
      <c r="G3" s="1"/>
      <c r="H3" s="3" t="s">
        <v>23</v>
      </c>
      <c r="I3" s="4">
        <v>2.6599999999999999E-2</v>
      </c>
      <c r="J3" s="3">
        <v>3</v>
      </c>
      <c r="K3" s="1">
        <v>1</v>
      </c>
      <c r="L3" s="1"/>
      <c r="M3" s="3">
        <f>Table1[[#This Row],[Per Qty]]*Table1[[#This Row],[SMT]]</f>
        <v>3</v>
      </c>
      <c r="N3" s="3">
        <f>Table1[[#This Row],[Per Qty]]*Table1[[#This Row],[Through]]</f>
        <v>0</v>
      </c>
    </row>
    <row r="4" spans="1:14" s="3" customFormat="1" x14ac:dyDescent="0.25">
      <c r="A4" s="3" t="s">
        <v>82</v>
      </c>
      <c r="B4" s="1" t="s">
        <v>132</v>
      </c>
      <c r="C4" s="3" t="s">
        <v>6</v>
      </c>
      <c r="D4" s="1" t="s">
        <v>41</v>
      </c>
      <c r="E4" s="1" t="s">
        <v>40</v>
      </c>
      <c r="F4" s="3" t="s">
        <v>187</v>
      </c>
      <c r="G4" s="1"/>
      <c r="H4" s="3" t="s">
        <v>23</v>
      </c>
      <c r="I4" s="4">
        <v>2.6599999999999999E-2</v>
      </c>
      <c r="J4" s="3">
        <v>1</v>
      </c>
      <c r="K4" s="1">
        <v>1</v>
      </c>
      <c r="L4" s="1"/>
      <c r="M4" s="3">
        <f>Table1[[#This Row],[Per Qty]]*Table1[[#This Row],[SMT]]</f>
        <v>1</v>
      </c>
      <c r="N4" s="3">
        <f>Table1[[#This Row],[Per Qty]]*Table1[[#This Row],[Through]]</f>
        <v>0</v>
      </c>
    </row>
    <row r="5" spans="1:14" s="3" customFormat="1" x14ac:dyDescent="0.25">
      <c r="A5" s="3" t="s">
        <v>83</v>
      </c>
      <c r="B5" s="1" t="s">
        <v>140</v>
      </c>
      <c r="C5" s="3" t="s">
        <v>6</v>
      </c>
      <c r="D5" s="3" t="s">
        <v>43</v>
      </c>
      <c r="E5" s="3" t="s">
        <v>42</v>
      </c>
      <c r="F5" s="3" t="s">
        <v>188</v>
      </c>
      <c r="H5" s="3" t="s">
        <v>23</v>
      </c>
      <c r="I5" s="4">
        <v>2.6599999999999999E-2</v>
      </c>
      <c r="J5" s="3">
        <v>1</v>
      </c>
      <c r="K5" s="1">
        <v>1</v>
      </c>
      <c r="L5" s="1"/>
      <c r="M5" s="3">
        <f>Table1[[#This Row],[Per Qty]]*Table1[[#This Row],[SMT]]</f>
        <v>1</v>
      </c>
      <c r="N5" s="3">
        <f>Table1[[#This Row],[Per Qty]]*Table1[[#This Row],[Through]]</f>
        <v>0</v>
      </c>
    </row>
    <row r="6" spans="1:14" s="3" customFormat="1" x14ac:dyDescent="0.25">
      <c r="A6" s="3" t="s">
        <v>84</v>
      </c>
      <c r="B6" s="1" t="s">
        <v>144</v>
      </c>
      <c r="C6" s="3" t="s">
        <v>6</v>
      </c>
      <c r="D6" s="1" t="s">
        <v>53</v>
      </c>
      <c r="E6" s="1" t="s">
        <v>52</v>
      </c>
      <c r="F6" s="3" t="s">
        <v>189</v>
      </c>
      <c r="G6" s="1"/>
      <c r="H6" s="3" t="s">
        <v>23</v>
      </c>
      <c r="I6" s="4">
        <v>2.6599999999999999E-2</v>
      </c>
      <c r="J6" s="3">
        <v>3</v>
      </c>
      <c r="K6" s="1">
        <v>1</v>
      </c>
      <c r="L6" s="1"/>
      <c r="M6" s="3">
        <f>Table1[[#This Row],[Per Qty]]*Table1[[#This Row],[SMT]]</f>
        <v>3</v>
      </c>
      <c r="N6" s="3">
        <f>Table1[[#This Row],[Per Qty]]*Table1[[#This Row],[Through]]</f>
        <v>0</v>
      </c>
    </row>
    <row r="7" spans="1:14" s="3" customFormat="1" x14ac:dyDescent="0.25">
      <c r="A7" s="3" t="s">
        <v>85</v>
      </c>
      <c r="B7" s="3" t="s">
        <v>138</v>
      </c>
      <c r="C7" s="3" t="s">
        <v>6</v>
      </c>
      <c r="D7" s="1" t="s">
        <v>37</v>
      </c>
      <c r="E7" s="3" t="s">
        <v>60</v>
      </c>
      <c r="F7" s="3" t="s">
        <v>190</v>
      </c>
      <c r="H7" s="3" t="s">
        <v>23</v>
      </c>
      <c r="I7" s="2">
        <v>3.4099999999999998E-2</v>
      </c>
      <c r="J7" s="3">
        <v>3</v>
      </c>
      <c r="K7" s="1">
        <v>1</v>
      </c>
      <c r="L7" s="1"/>
      <c r="M7" s="3">
        <f>Table1[[#This Row],[Per Qty]]*Table1[[#This Row],[SMT]]</f>
        <v>3</v>
      </c>
      <c r="N7" s="3">
        <f>Table1[[#This Row],[Per Qty]]*Table1[[#This Row],[Through]]</f>
        <v>0</v>
      </c>
    </row>
    <row r="8" spans="1:14" s="3" customFormat="1" x14ac:dyDescent="0.25">
      <c r="A8" s="3" t="s">
        <v>86</v>
      </c>
      <c r="B8" s="1" t="s">
        <v>133</v>
      </c>
      <c r="C8" s="3" t="s">
        <v>71</v>
      </c>
      <c r="D8" s="1" t="s">
        <v>72</v>
      </c>
      <c r="E8" s="3" t="s">
        <v>70</v>
      </c>
      <c r="F8" s="3" t="s">
        <v>191</v>
      </c>
      <c r="H8" s="3" t="s">
        <v>23</v>
      </c>
      <c r="I8" s="4">
        <v>2.81E-2</v>
      </c>
      <c r="J8" s="3">
        <v>8</v>
      </c>
      <c r="K8" s="1">
        <v>1</v>
      </c>
      <c r="L8" s="1"/>
      <c r="M8" s="3">
        <f>Table1[[#This Row],[Per Qty]]*Table1[[#This Row],[SMT]]</f>
        <v>8</v>
      </c>
      <c r="N8" s="3">
        <f>Table1[[#This Row],[Per Qty]]*Table1[[#This Row],[Through]]</f>
        <v>0</v>
      </c>
    </row>
    <row r="9" spans="1:14" x14ac:dyDescent="0.25">
      <c r="A9" s="1" t="s">
        <v>87</v>
      </c>
      <c r="B9" s="1" t="s">
        <v>135</v>
      </c>
      <c r="C9" s="3" t="s">
        <v>6</v>
      </c>
      <c r="D9" s="1" t="s">
        <v>45</v>
      </c>
      <c r="E9" s="1" t="s">
        <v>44</v>
      </c>
      <c r="F9" s="1" t="s">
        <v>192</v>
      </c>
      <c r="H9" s="3" t="s">
        <v>23</v>
      </c>
      <c r="I9" s="2">
        <v>2.6599999999999999E-2</v>
      </c>
      <c r="J9" s="1">
        <v>1</v>
      </c>
      <c r="K9" s="1">
        <v>1</v>
      </c>
      <c r="M9" s="1">
        <f>Table1[[#This Row],[Per Qty]]*Table1[[#This Row],[SMT]]</f>
        <v>1</v>
      </c>
      <c r="N9" s="1">
        <f>Table1[[#This Row],[Per Qty]]*Table1[[#This Row],[Through]]</f>
        <v>0</v>
      </c>
    </row>
    <row r="10" spans="1:14" s="3" customFormat="1" x14ac:dyDescent="0.25">
      <c r="D10" s="1"/>
      <c r="I10" s="4"/>
      <c r="K10" s="1"/>
      <c r="L10" s="1"/>
      <c r="M10" s="3">
        <f>Table1[[#This Row],[Per Qty]]*Table1[[#This Row],[SMT]]</f>
        <v>0</v>
      </c>
      <c r="N10" s="3">
        <f>Table1[[#This Row],[Per Qty]]*Table1[[#This Row],[Through]]</f>
        <v>0</v>
      </c>
    </row>
    <row r="11" spans="1:14" s="3" customFormat="1" x14ac:dyDescent="0.25">
      <c r="A11" s="3" t="s">
        <v>88</v>
      </c>
      <c r="B11" s="1" t="s">
        <v>143</v>
      </c>
      <c r="C11" s="3" t="s">
        <v>3</v>
      </c>
      <c r="D11" s="1" t="s">
        <v>5</v>
      </c>
      <c r="E11" s="1" t="s">
        <v>4</v>
      </c>
      <c r="F11" s="3" t="s">
        <v>224</v>
      </c>
      <c r="G11" s="1"/>
      <c r="H11" s="3" t="s">
        <v>23</v>
      </c>
      <c r="I11" s="4">
        <v>0.33150000000000002</v>
      </c>
      <c r="J11" s="3">
        <v>1</v>
      </c>
      <c r="K11" s="1">
        <v>1</v>
      </c>
      <c r="L11" s="1"/>
      <c r="M11" s="3">
        <f>Table1[[#This Row],[Per Qty]]*Table1[[#This Row],[SMT]]</f>
        <v>1</v>
      </c>
      <c r="N11" s="3">
        <f>Table1[[#This Row],[Per Qty]]*Table1[[#This Row],[Through]]</f>
        <v>0</v>
      </c>
    </row>
    <row r="12" spans="1:14" x14ac:dyDescent="0.25">
      <c r="A12" s="1" t="s">
        <v>89</v>
      </c>
      <c r="B12" s="1" t="s">
        <v>142</v>
      </c>
      <c r="C12" s="3" t="s">
        <v>7</v>
      </c>
      <c r="D12" s="1" t="s">
        <v>62</v>
      </c>
      <c r="E12" s="1" t="s">
        <v>61</v>
      </c>
      <c r="F12" s="1" t="s">
        <v>194</v>
      </c>
      <c r="H12" s="3" t="s">
        <v>13</v>
      </c>
      <c r="I12" s="2">
        <v>6.4399999999999999E-2</v>
      </c>
      <c r="J12" s="1">
        <v>3</v>
      </c>
      <c r="K12" s="1">
        <v>1</v>
      </c>
      <c r="M12" s="1">
        <f>Table1[[#This Row],[Per Qty]]*Table1[[#This Row],[SMT]]</f>
        <v>3</v>
      </c>
      <c r="N12" s="1">
        <f>Table1[[#This Row],[Per Qty]]*Table1[[#This Row],[Through]]</f>
        <v>0</v>
      </c>
    </row>
    <row r="13" spans="1:14" s="3" customFormat="1" x14ac:dyDescent="0.25">
      <c r="A13" s="3" t="s">
        <v>90</v>
      </c>
      <c r="B13" s="1" t="s">
        <v>131</v>
      </c>
      <c r="C13" s="3" t="s">
        <v>66</v>
      </c>
      <c r="D13" s="1" t="s">
        <v>172</v>
      </c>
      <c r="E13" s="1" t="s">
        <v>173</v>
      </c>
      <c r="F13" s="3" t="s">
        <v>195</v>
      </c>
      <c r="G13" s="1"/>
      <c r="H13" s="1" t="s">
        <v>13</v>
      </c>
      <c r="I13" s="4">
        <v>3.2719999999999999E-2</v>
      </c>
      <c r="J13" s="3">
        <v>7</v>
      </c>
      <c r="K13" s="1">
        <v>1</v>
      </c>
      <c r="L13" s="1"/>
      <c r="M13" s="3">
        <f>Table1[[#This Row],[Per Qty]]*Table1[[#This Row],[SMT]]</f>
        <v>7</v>
      </c>
      <c r="N13" s="3">
        <f>Table1[[#This Row],[Per Qty]]*Table1[[#This Row],[Through]]</f>
        <v>0</v>
      </c>
    </row>
    <row r="14" spans="1:14" s="3" customFormat="1" x14ac:dyDescent="0.25">
      <c r="A14" s="3" t="s">
        <v>91</v>
      </c>
      <c r="B14" s="3" t="s">
        <v>136</v>
      </c>
      <c r="C14" s="3" t="s">
        <v>66</v>
      </c>
      <c r="D14" s="1" t="s">
        <v>109</v>
      </c>
      <c r="E14" s="3" t="s">
        <v>108</v>
      </c>
      <c r="F14" s="3" t="s">
        <v>196</v>
      </c>
      <c r="H14" s="3" t="s">
        <v>13</v>
      </c>
      <c r="I14" s="4">
        <v>5.3400000000000003E-2</v>
      </c>
      <c r="J14" s="3">
        <v>3</v>
      </c>
      <c r="K14" s="1">
        <v>1</v>
      </c>
      <c r="L14" s="1"/>
      <c r="M14" s="3">
        <f>Table1[[#This Row],[Per Qty]]*Table1[[#This Row],[SMT]]</f>
        <v>3</v>
      </c>
      <c r="N14" s="3">
        <f>Table1[[#This Row],[Per Qty]]*Table1[[#This Row],[Through]]</f>
        <v>0</v>
      </c>
    </row>
    <row r="15" spans="1:14" s="3" customFormat="1" x14ac:dyDescent="0.25">
      <c r="A15" s="3" t="s">
        <v>92</v>
      </c>
      <c r="B15" s="1" t="s">
        <v>134</v>
      </c>
      <c r="C15" s="3" t="s">
        <v>66</v>
      </c>
      <c r="D15" s="1" t="s">
        <v>121</v>
      </c>
      <c r="E15" s="3" t="s">
        <v>120</v>
      </c>
      <c r="F15" s="3" t="s">
        <v>197</v>
      </c>
      <c r="H15" s="3" t="s">
        <v>13</v>
      </c>
      <c r="I15" s="4">
        <v>5.1299999999999998E-2</v>
      </c>
      <c r="J15" s="3">
        <v>4</v>
      </c>
      <c r="K15" s="1">
        <v>1</v>
      </c>
      <c r="L15" s="1"/>
      <c r="M15" s="3">
        <f>Table1[[#This Row],[Per Qty]]*Table1[[#This Row],[SMT]]</f>
        <v>4</v>
      </c>
      <c r="N15" s="3">
        <f>Table1[[#This Row],[Per Qty]]*Table1[[#This Row],[Through]]</f>
        <v>0</v>
      </c>
    </row>
    <row r="16" spans="1:14" x14ac:dyDescent="0.25">
      <c r="M16" s="1">
        <f>Table1[[#This Row],[Per Qty]]*Table1[[#This Row],[SMT]]</f>
        <v>0</v>
      </c>
      <c r="N16" s="1">
        <f>Table1[[#This Row],[Per Qty]]*Table1[[#This Row],[Through]]</f>
        <v>0</v>
      </c>
    </row>
    <row r="17" spans="1:14" s="3" customFormat="1" x14ac:dyDescent="0.25">
      <c r="A17" s="3" t="s">
        <v>125</v>
      </c>
      <c r="B17" s="3" t="s">
        <v>159</v>
      </c>
      <c r="C17" s="3" t="s">
        <v>18</v>
      </c>
      <c r="D17" s="1">
        <v>901200122</v>
      </c>
      <c r="E17" s="3" t="s">
        <v>163</v>
      </c>
      <c r="H17" s="3" t="s">
        <v>19</v>
      </c>
      <c r="I17" s="4">
        <v>0.77749999999999997</v>
      </c>
      <c r="J17" s="3">
        <v>4</v>
      </c>
      <c r="K17" s="1"/>
      <c r="L17" s="1">
        <v>1</v>
      </c>
      <c r="M17" s="3">
        <f>Table1[[#This Row],[Per Qty]]*Table1[[#This Row],[SMT]]</f>
        <v>0</v>
      </c>
      <c r="N17" s="3">
        <f>Table1[[#This Row],[Per Qty]]*Table1[[#This Row],[Through]]</f>
        <v>4</v>
      </c>
    </row>
    <row r="18" spans="1:14" s="3" customFormat="1" x14ac:dyDescent="0.25">
      <c r="A18" s="3" t="s">
        <v>126</v>
      </c>
      <c r="B18" s="3" t="s">
        <v>127</v>
      </c>
      <c r="C18" s="3" t="s">
        <v>18</v>
      </c>
      <c r="D18" s="1">
        <v>901200123</v>
      </c>
      <c r="E18" s="3" t="s">
        <v>164</v>
      </c>
      <c r="H18" s="3" t="s">
        <v>19</v>
      </c>
      <c r="I18" s="4">
        <v>0.77749999999999997</v>
      </c>
      <c r="J18" s="3">
        <v>1</v>
      </c>
      <c r="K18" s="1"/>
      <c r="L18" s="1">
        <v>1</v>
      </c>
      <c r="M18" s="3">
        <f>Table1[[#This Row],[Per Qty]]*Table1[[#This Row],[SMT]]</f>
        <v>0</v>
      </c>
      <c r="N18" s="3">
        <f>Table1[[#This Row],[Per Qty]]*Table1[[#This Row],[Through]]</f>
        <v>1</v>
      </c>
    </row>
    <row r="19" spans="1:14" s="3" customFormat="1" x14ac:dyDescent="0.25">
      <c r="A19" s="3" t="s">
        <v>128</v>
      </c>
      <c r="B19" s="3" t="s">
        <v>161</v>
      </c>
      <c r="C19" s="3" t="s">
        <v>18</v>
      </c>
      <c r="D19" s="1">
        <v>901200126</v>
      </c>
      <c r="E19" s="3" t="s">
        <v>162</v>
      </c>
      <c r="H19" s="3" t="s">
        <v>19</v>
      </c>
      <c r="I19" s="4">
        <v>0.74</v>
      </c>
      <c r="J19" s="3">
        <v>2</v>
      </c>
      <c r="K19" s="1"/>
      <c r="L19" s="1">
        <v>1</v>
      </c>
      <c r="M19" s="3">
        <f>Table1[[#This Row],[Per Qty]]*Table1[[#This Row],[SMT]]</f>
        <v>0</v>
      </c>
      <c r="N19" s="3">
        <f>Table1[[#This Row],[Per Qty]]*Table1[[#This Row],[Through]]</f>
        <v>2</v>
      </c>
    </row>
    <row r="20" spans="1:14" s="3" customFormat="1" x14ac:dyDescent="0.25">
      <c r="A20" s="3" t="s">
        <v>93</v>
      </c>
      <c r="B20" s="3" t="s">
        <v>160</v>
      </c>
      <c r="C20" s="3" t="s">
        <v>20</v>
      </c>
      <c r="D20" s="1">
        <v>22288061</v>
      </c>
      <c r="E20" s="3" t="s">
        <v>165</v>
      </c>
      <c r="H20" s="3" t="s">
        <v>19</v>
      </c>
      <c r="I20" s="4">
        <v>1.137</v>
      </c>
      <c r="J20" s="3">
        <v>1</v>
      </c>
      <c r="K20" s="1"/>
      <c r="L20" s="1">
        <v>1</v>
      </c>
      <c r="M20" s="3">
        <f>Table1[[#This Row],[Per Qty]]*Table1[[#This Row],[SMT]]</f>
        <v>0</v>
      </c>
      <c r="N20" s="3">
        <f>Table1[[#This Row],[Per Qty]]*Table1[[#This Row],[Through]]</f>
        <v>1</v>
      </c>
    </row>
    <row r="21" spans="1:14" s="3" customFormat="1" x14ac:dyDescent="0.25">
      <c r="A21" s="3" t="s">
        <v>94</v>
      </c>
      <c r="B21" s="1" t="s">
        <v>156</v>
      </c>
      <c r="C21" s="3" t="s">
        <v>2</v>
      </c>
      <c r="D21" s="1" t="s">
        <v>1</v>
      </c>
      <c r="E21" s="1" t="s">
        <v>0</v>
      </c>
      <c r="F21" s="1" t="s">
        <v>201</v>
      </c>
      <c r="G21" s="1"/>
      <c r="H21" s="3" t="s">
        <v>12</v>
      </c>
      <c r="I21" s="4">
        <v>1.4039999999999999</v>
      </c>
      <c r="J21" s="3">
        <v>1</v>
      </c>
      <c r="K21" s="1">
        <v>1</v>
      </c>
      <c r="L21" s="1"/>
      <c r="M21" s="3">
        <f>Table1[[#This Row],[Per Qty]]*Table1[[#This Row],[SMT]]</f>
        <v>1</v>
      </c>
      <c r="N21" s="3">
        <f>Table1[[#This Row],[Per Qty]]*Table1[[#This Row],[Through]]</f>
        <v>0</v>
      </c>
    </row>
    <row r="22" spans="1:14" s="3" customFormat="1" x14ac:dyDescent="0.25">
      <c r="A22" s="3" t="s">
        <v>95</v>
      </c>
      <c r="B22" s="3" t="s">
        <v>130</v>
      </c>
      <c r="C22" s="3" t="s">
        <v>20</v>
      </c>
      <c r="D22" s="1" t="s">
        <v>50</v>
      </c>
      <c r="E22" s="1" t="s">
        <v>49</v>
      </c>
      <c r="F22" s="1"/>
      <c r="G22" s="1"/>
      <c r="H22" s="3" t="s">
        <v>34</v>
      </c>
      <c r="I22" s="4">
        <v>0.35770000000000002</v>
      </c>
      <c r="J22" s="3">
        <v>2</v>
      </c>
      <c r="K22" s="1"/>
      <c r="L22" s="1">
        <v>1</v>
      </c>
      <c r="M22" s="3">
        <f>Table1[[#This Row],[Per Qty]]*Table1[[#This Row],[SMT]]</f>
        <v>0</v>
      </c>
      <c r="N22" s="3">
        <f>Table1[[#This Row],[Per Qty]]*Table1[[#This Row],[Through]]</f>
        <v>2</v>
      </c>
    </row>
    <row r="23" spans="1:14" s="3" customFormat="1" ht="14.4" x14ac:dyDescent="0.3">
      <c r="A23" s="3" t="s">
        <v>110</v>
      </c>
      <c r="B23" s="1" t="s">
        <v>152</v>
      </c>
      <c r="C23" s="3" t="s">
        <v>111</v>
      </c>
      <c r="D23" s="3" t="s">
        <v>112</v>
      </c>
      <c r="E23" s="3" t="s">
        <v>113</v>
      </c>
      <c r="F23" s="1" t="s">
        <v>199</v>
      </c>
      <c r="G23" t="s">
        <v>217</v>
      </c>
      <c r="H23" s="1" t="s">
        <v>114</v>
      </c>
      <c r="I23" s="4">
        <v>8.2400000000000001E-2</v>
      </c>
      <c r="J23" s="3">
        <v>3</v>
      </c>
      <c r="K23" s="1">
        <v>1</v>
      </c>
      <c r="L23" s="1"/>
      <c r="M23" s="3">
        <f>Table1[[#This Row],[Per Qty]]*Table1[[#This Row],[SMT]]</f>
        <v>3</v>
      </c>
      <c r="N23" s="3">
        <f>Table1[[#This Row],[Per Qty]]*Table1[[#This Row],[Through]]</f>
        <v>0</v>
      </c>
    </row>
    <row r="24" spans="1:14" s="3" customFormat="1" x14ac:dyDescent="0.25">
      <c r="A24" s="3" t="s">
        <v>96</v>
      </c>
      <c r="B24" s="3" t="s">
        <v>151</v>
      </c>
      <c r="C24" s="3" t="s">
        <v>21</v>
      </c>
      <c r="D24" s="3" t="s">
        <v>29</v>
      </c>
      <c r="E24" s="3" t="s">
        <v>28</v>
      </c>
      <c r="H24" s="3" t="s">
        <v>30</v>
      </c>
      <c r="I24" s="4">
        <v>0.52900000000000003</v>
      </c>
      <c r="J24" s="3">
        <v>1</v>
      </c>
      <c r="K24" s="1"/>
      <c r="L24" s="1">
        <v>1</v>
      </c>
      <c r="M24" s="3">
        <f>Table1[[#This Row],[Per Qty]]*Table1[[#This Row],[SMT]]</f>
        <v>0</v>
      </c>
      <c r="N24" s="3">
        <f>Table1[[#This Row],[Per Qty]]*Table1[[#This Row],[Through]]</f>
        <v>1</v>
      </c>
    </row>
    <row r="25" spans="1:14" x14ac:dyDescent="0.25">
      <c r="A25" s="1" t="s">
        <v>97</v>
      </c>
      <c r="B25" s="1" t="s">
        <v>129</v>
      </c>
      <c r="C25" s="1" t="s">
        <v>46</v>
      </c>
      <c r="D25" s="1" t="s">
        <v>48</v>
      </c>
      <c r="E25" s="1" t="s">
        <v>47</v>
      </c>
      <c r="H25" s="1" t="s">
        <v>12</v>
      </c>
      <c r="I25" s="2">
        <v>1.4718</v>
      </c>
      <c r="J25" s="1">
        <v>1</v>
      </c>
      <c r="L25" s="1">
        <v>1</v>
      </c>
      <c r="M25" s="1">
        <f>Table1[[#This Row],[Per Qty]]*Table1[[#This Row],[SMT]]</f>
        <v>0</v>
      </c>
      <c r="N25" s="1">
        <f>Table1[[#This Row],[Per Qty]]*Table1[[#This Row],[Through]]</f>
        <v>1</v>
      </c>
    </row>
    <row r="26" spans="1:14" x14ac:dyDescent="0.25">
      <c r="M26" s="1">
        <f>Table1[[#This Row],[Per Qty]]*Table1[[#This Row],[SMT]]</f>
        <v>0</v>
      </c>
      <c r="N26" s="1">
        <f>Table1[[#This Row],[Per Qty]]*Table1[[#This Row],[Through]]</f>
        <v>0</v>
      </c>
    </row>
    <row r="27" spans="1:14" x14ac:dyDescent="0.25">
      <c r="A27" s="3" t="s">
        <v>177</v>
      </c>
      <c r="B27" s="1" t="s">
        <v>178</v>
      </c>
      <c r="C27" s="3" t="s">
        <v>31</v>
      </c>
      <c r="D27" s="1" t="s">
        <v>179</v>
      </c>
      <c r="E27" s="1" t="s">
        <v>180</v>
      </c>
      <c r="F27" s="1" t="s">
        <v>203</v>
      </c>
      <c r="H27" s="3" t="s">
        <v>25</v>
      </c>
      <c r="I27" s="4">
        <v>2.1800000000000002</v>
      </c>
      <c r="J27" s="3">
        <v>1</v>
      </c>
      <c r="K27" s="1">
        <v>1</v>
      </c>
      <c r="M27" s="1">
        <f>Table1[[#This Row],[Per Qty]]*Table1[[#This Row],[SMT]]</f>
        <v>1</v>
      </c>
      <c r="N27" s="1">
        <f>Table1[[#This Row],[Per Qty]]*Table1[[#This Row],[Through]]</f>
        <v>0</v>
      </c>
    </row>
    <row r="28" spans="1:14" s="3" customFormat="1" x14ac:dyDescent="0.25">
      <c r="A28" s="3" t="s">
        <v>98</v>
      </c>
      <c r="B28" s="1" t="s">
        <v>145</v>
      </c>
      <c r="C28" s="3" t="s">
        <v>27</v>
      </c>
      <c r="D28" s="3" t="s">
        <v>59</v>
      </c>
      <c r="E28" s="3" t="s">
        <v>57</v>
      </c>
      <c r="F28" s="3" t="s">
        <v>205</v>
      </c>
      <c r="H28" s="3" t="s">
        <v>58</v>
      </c>
      <c r="I28" s="4">
        <v>1.9</v>
      </c>
      <c r="J28" s="3">
        <v>1</v>
      </c>
      <c r="K28" s="1">
        <v>1</v>
      </c>
      <c r="L28" s="1"/>
      <c r="M28" s="3">
        <f>Table1[[#This Row],[Per Qty]]*Table1[[#This Row],[SMT]]</f>
        <v>1</v>
      </c>
      <c r="N28" s="3">
        <f>Table1[[#This Row],[Per Qty]]*Table1[[#This Row],[Through]]</f>
        <v>0</v>
      </c>
    </row>
    <row r="29" spans="1:14" s="3" customFormat="1" ht="14.4" x14ac:dyDescent="0.3">
      <c r="A29" s="3" t="s">
        <v>99</v>
      </c>
      <c r="B29" s="1" t="s">
        <v>153</v>
      </c>
      <c r="C29" s="3" t="s">
        <v>11</v>
      </c>
      <c r="D29" s="1" t="s">
        <v>10</v>
      </c>
      <c r="E29" s="1" t="s">
        <v>9</v>
      </c>
      <c r="F29" s="3" t="s">
        <v>206</v>
      </c>
      <c r="G29" t="s">
        <v>206</v>
      </c>
      <c r="H29" s="3" t="s">
        <v>26</v>
      </c>
      <c r="I29" s="4">
        <v>1.048</v>
      </c>
      <c r="J29" s="3">
        <v>2</v>
      </c>
      <c r="K29" s="1">
        <v>1</v>
      </c>
      <c r="L29" s="1"/>
      <c r="M29" s="3">
        <f>Table1[[#This Row],[Per Qty]]*Table1[[#This Row],[SMT]]</f>
        <v>2</v>
      </c>
      <c r="N29" s="3">
        <f>Table1[[#This Row],[Per Qty]]*Table1[[#This Row],[Through]]</f>
        <v>0</v>
      </c>
    </row>
    <row r="30" spans="1:14" ht="14.4" x14ac:dyDescent="0.3">
      <c r="A30" s="1" t="s">
        <v>100</v>
      </c>
      <c r="B30" s="1" t="s">
        <v>139</v>
      </c>
      <c r="C30" s="1" t="s">
        <v>79</v>
      </c>
      <c r="D30" s="1" t="s">
        <v>78</v>
      </c>
      <c r="E30" s="1" t="s">
        <v>77</v>
      </c>
      <c r="F30" t="s">
        <v>221</v>
      </c>
      <c r="G30" t="s">
        <v>221</v>
      </c>
      <c r="H30" s="1" t="s">
        <v>51</v>
      </c>
      <c r="I30" s="2">
        <v>0.05</v>
      </c>
      <c r="J30" s="1">
        <v>1</v>
      </c>
      <c r="K30" s="1">
        <v>1</v>
      </c>
      <c r="M30" s="1">
        <f>Table1[[#This Row],[Per Qty]]*Table1[[#This Row],[SMT]]</f>
        <v>1</v>
      </c>
      <c r="N30" s="1">
        <f>Table1[[#This Row],[Per Qty]]*Table1[[#This Row],[Through]]</f>
        <v>0</v>
      </c>
    </row>
    <row r="31" spans="1:14" ht="14.4" x14ac:dyDescent="0.3">
      <c r="A31" s="3" t="s">
        <v>117</v>
      </c>
      <c r="B31" s="1" t="s">
        <v>150</v>
      </c>
      <c r="C31" s="1" t="s">
        <v>31</v>
      </c>
      <c r="D31" s="1" t="s">
        <v>116</v>
      </c>
      <c r="E31" s="1" t="s">
        <v>115</v>
      </c>
      <c r="F31" s="1" t="s">
        <v>207</v>
      </c>
      <c r="G31" t="s">
        <v>223</v>
      </c>
      <c r="H31" s="1" t="s">
        <v>51</v>
      </c>
      <c r="I31" s="2">
        <v>0.41</v>
      </c>
      <c r="J31" s="1">
        <v>1</v>
      </c>
      <c r="K31" s="1">
        <v>1</v>
      </c>
      <c r="M31" s="1">
        <f>Table1[[#This Row],[Per Qty]]*Table1[[#This Row],[SMT]]</f>
        <v>1</v>
      </c>
      <c r="N31" s="1">
        <f>Table1[[#This Row],[Per Qty]]*Table1[[#This Row],[Through]]</f>
        <v>0</v>
      </c>
    </row>
    <row r="32" spans="1:14" ht="14.4" x14ac:dyDescent="0.3">
      <c r="A32" s="3" t="s">
        <v>101</v>
      </c>
      <c r="B32" s="1" t="s">
        <v>149</v>
      </c>
      <c r="C32" s="3" t="s">
        <v>32</v>
      </c>
      <c r="D32" s="1" t="s">
        <v>36</v>
      </c>
      <c r="E32" s="1" t="s">
        <v>35</v>
      </c>
      <c r="F32" s="1" t="s">
        <v>209</v>
      </c>
      <c r="G32" t="s">
        <v>218</v>
      </c>
      <c r="H32" s="3" t="s">
        <v>24</v>
      </c>
      <c r="I32" s="4">
        <v>0.83209999999999995</v>
      </c>
      <c r="J32" s="3">
        <v>1</v>
      </c>
      <c r="K32" s="1">
        <v>1</v>
      </c>
      <c r="M32" s="1">
        <f>Table1[[#This Row],[Per Qty]]*Table1[[#This Row],[SMT]]</f>
        <v>1</v>
      </c>
      <c r="N32" s="1">
        <f>Table1[[#This Row],[Per Qty]]*Table1[[#This Row],[Through]]</f>
        <v>0</v>
      </c>
    </row>
    <row r="33" spans="1:14" s="3" customFormat="1" x14ac:dyDescent="0.25">
      <c r="A33" s="3" t="s">
        <v>102</v>
      </c>
      <c r="B33" s="1" t="s">
        <v>146</v>
      </c>
      <c r="C33" s="1" t="s">
        <v>14</v>
      </c>
      <c r="D33" s="1" t="s">
        <v>119</v>
      </c>
      <c r="E33" s="1" t="s">
        <v>118</v>
      </c>
      <c r="F33" s="3" t="s">
        <v>211</v>
      </c>
      <c r="G33" s="1"/>
      <c r="H33" s="1" t="s">
        <v>22</v>
      </c>
      <c r="I33" s="2">
        <v>0.70399999999999996</v>
      </c>
      <c r="J33" s="3">
        <v>1</v>
      </c>
      <c r="K33" s="1">
        <v>1</v>
      </c>
      <c r="L33" s="1"/>
      <c r="M33" s="3">
        <f>Table1[[#This Row],[Per Qty]]*Table1[[#This Row],[SMT]]</f>
        <v>1</v>
      </c>
      <c r="N33" s="3">
        <f>Table1[[#This Row],[Per Qty]]*Table1[[#This Row],[Through]]</f>
        <v>0</v>
      </c>
    </row>
    <row r="34" spans="1:14" s="3" customFormat="1" ht="14.4" x14ac:dyDescent="0.3">
      <c r="A34" s="3" t="s">
        <v>103</v>
      </c>
      <c r="B34" s="1" t="s">
        <v>157</v>
      </c>
      <c r="C34" s="3" t="s">
        <v>8</v>
      </c>
      <c r="D34" s="1" t="s">
        <v>15</v>
      </c>
      <c r="E34" s="3" t="s">
        <v>16</v>
      </c>
      <c r="F34" t="s">
        <v>220</v>
      </c>
      <c r="G34" t="s">
        <v>220</v>
      </c>
      <c r="H34" s="3" t="s">
        <v>17</v>
      </c>
      <c r="I34" s="4">
        <v>0.1085</v>
      </c>
      <c r="J34" s="3">
        <v>1</v>
      </c>
      <c r="K34" s="1">
        <v>1</v>
      </c>
      <c r="L34" s="1"/>
      <c r="M34" s="3">
        <f>Table1[[#This Row],[Per Qty]]*Table1[[#This Row],[SMT]]</f>
        <v>1</v>
      </c>
      <c r="N34" s="3">
        <f>Table1[[#This Row],[Per Qty]]*Table1[[#This Row],[Through]]</f>
        <v>0</v>
      </c>
    </row>
    <row r="35" spans="1:14" s="3" customFormat="1" ht="14.4" x14ac:dyDescent="0.3">
      <c r="A35" s="3" t="s">
        <v>104</v>
      </c>
      <c r="B35" s="1" t="s">
        <v>154</v>
      </c>
      <c r="C35" s="3" t="s">
        <v>174</v>
      </c>
      <c r="D35" s="1" t="s">
        <v>175</v>
      </c>
      <c r="E35" s="3" t="s">
        <v>176</v>
      </c>
      <c r="F35" t="s">
        <v>222</v>
      </c>
      <c r="G35" t="s">
        <v>222</v>
      </c>
      <c r="H35" s="3" t="s">
        <v>17</v>
      </c>
      <c r="I35" s="4">
        <v>0.12189999999999999</v>
      </c>
      <c r="J35" s="3">
        <v>1</v>
      </c>
      <c r="K35" s="1">
        <v>1</v>
      </c>
      <c r="L35" s="1"/>
      <c r="M35" s="3">
        <f>Table1[[#This Row],[Per Qty]]*Table1[[#This Row],[SMT]]</f>
        <v>1</v>
      </c>
      <c r="N35" s="3">
        <f>Table1[[#This Row],[Per Qty]]*Table1[[#This Row],[Through]]</f>
        <v>0</v>
      </c>
    </row>
    <row r="36" spans="1:14" s="3" customFormat="1" ht="14.4" x14ac:dyDescent="0.3">
      <c r="A36" s="3" t="s">
        <v>105</v>
      </c>
      <c r="B36" s="1" t="s">
        <v>148</v>
      </c>
      <c r="C36" s="3" t="s">
        <v>68</v>
      </c>
      <c r="D36" s="3" t="s">
        <v>69</v>
      </c>
      <c r="E36" s="3" t="s">
        <v>67</v>
      </c>
      <c r="F36" s="1" t="s">
        <v>213</v>
      </c>
      <c r="G36" t="s">
        <v>219</v>
      </c>
      <c r="H36" s="3" t="s">
        <v>17</v>
      </c>
      <c r="I36" s="4">
        <v>0.37430000000000002</v>
      </c>
      <c r="J36" s="3">
        <v>1</v>
      </c>
      <c r="K36" s="1">
        <v>1</v>
      </c>
      <c r="L36" s="1"/>
      <c r="M36" s="3">
        <f>Table1[[#This Row],[Per Qty]]*Table1[[#This Row],[SMT]]</f>
        <v>1</v>
      </c>
      <c r="N36" s="3">
        <f>Table1[[#This Row],[Per Qty]]*Table1[[#This Row],[Through]]</f>
        <v>0</v>
      </c>
    </row>
    <row r="37" spans="1:14" ht="14.4" x14ac:dyDescent="0.3">
      <c r="A37" s="3" t="s">
        <v>106</v>
      </c>
      <c r="B37" s="1" t="s">
        <v>155</v>
      </c>
      <c r="C37" s="3" t="s">
        <v>76</v>
      </c>
      <c r="D37" s="1" t="s">
        <v>75</v>
      </c>
      <c r="E37" s="1" t="s">
        <v>74</v>
      </c>
      <c r="F37" s="1" t="s">
        <v>214</v>
      </c>
      <c r="G37" t="s">
        <v>213</v>
      </c>
      <c r="H37" s="3" t="s">
        <v>73</v>
      </c>
      <c r="I37" s="4">
        <v>0.36480000000000001</v>
      </c>
      <c r="J37" s="3">
        <v>1</v>
      </c>
      <c r="K37" s="1">
        <v>1</v>
      </c>
      <c r="M37" s="1">
        <f>Table1[[#This Row],[Per Qty]]*Table1[[#This Row],[SMT]]</f>
        <v>1</v>
      </c>
      <c r="N37" s="1">
        <f>Table1[[#This Row],[Per Qty]]*Table1[[#This Row],[Through]]</f>
        <v>0</v>
      </c>
    </row>
    <row r="38" spans="1:14" x14ac:dyDescent="0.25">
      <c r="A38" s="1" t="s">
        <v>107</v>
      </c>
      <c r="B38" s="1" t="s">
        <v>147</v>
      </c>
      <c r="C38" s="1" t="s">
        <v>11</v>
      </c>
      <c r="D38" s="1" t="s">
        <v>56</v>
      </c>
      <c r="E38" s="1" t="s">
        <v>55</v>
      </c>
      <c r="H38" s="1" t="s">
        <v>54</v>
      </c>
      <c r="I38" s="2">
        <v>0.8639</v>
      </c>
      <c r="J38" s="1">
        <v>1</v>
      </c>
      <c r="K38" s="1">
        <v>1</v>
      </c>
      <c r="M38" s="1">
        <f>Table1[[#This Row],[Per Qty]]*Table1[[#This Row],[SMT]]</f>
        <v>1</v>
      </c>
      <c r="N38" s="1">
        <f>Table1[[#This Row],[Per Qty]]*Table1[[#This Row],[Through]]</f>
        <v>0</v>
      </c>
    </row>
    <row r="41" spans="1:14" x14ac:dyDescent="0.25">
      <c r="A41" s="3"/>
      <c r="B41" s="3"/>
      <c r="C41" s="3">
        <f>COUNTA(Table1[Manf])</f>
        <v>34</v>
      </c>
      <c r="J41" s="1">
        <f>SUM(Table1[Per Qty])</f>
        <v>69</v>
      </c>
      <c r="M41" s="1">
        <f>SUM(Table1[Column1])</f>
        <v>57</v>
      </c>
      <c r="N41" s="1">
        <f>SUM(Table1[Column2])</f>
        <v>12</v>
      </c>
    </row>
  </sheetData>
  <phoneticPr fontId="3" type="noConversion"/>
  <conditionalFormatting sqref="A2:A38">
    <cfRule type="containsText" dxfId="1" priority="1" operator="containsText" text="DONE">
      <formula>NOT(ISERROR(SEARCH("DONE",A2)))</formula>
    </cfRule>
  </conditionalFormatting>
  <printOptions headings="1"/>
  <pageMargins left="0.7" right="0.7" top="0.75" bottom="0.75" header="0.3" footer="0.3"/>
  <pageSetup scale="74" orientation="landscape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32E7-7895-42B0-B9C6-999EBEE1184D}">
  <dimension ref="A1:D33"/>
  <sheetViews>
    <sheetView workbookViewId="0">
      <selection activeCell="F10" sqref="F10"/>
    </sheetView>
  </sheetViews>
  <sheetFormatPr defaultColWidth="9.109375" defaultRowHeight="13.2" x14ac:dyDescent="0.25"/>
  <cols>
    <col min="1" max="2" width="26.109375" style="1" customWidth="1"/>
    <col min="3" max="16384" width="9.109375" style="1"/>
  </cols>
  <sheetData>
    <row r="1" spans="1:4" x14ac:dyDescent="0.25">
      <c r="A1" s="1" t="s">
        <v>181</v>
      </c>
      <c r="B1" s="1" t="s">
        <v>158</v>
      </c>
      <c r="C1" s="1" t="s">
        <v>182</v>
      </c>
      <c r="D1" s="1" t="s">
        <v>183</v>
      </c>
    </row>
    <row r="2" spans="1:4" s="3" customFormat="1" x14ac:dyDescent="0.25">
      <c r="A2" s="3" t="s">
        <v>80</v>
      </c>
      <c r="B2" s="3" t="s">
        <v>137</v>
      </c>
      <c r="C2" s="3" t="s">
        <v>184</v>
      </c>
      <c r="D2" s="3" t="str">
        <f>Table1[[#This Row],[Column5]]</f>
        <v>C2907445</v>
      </c>
    </row>
    <row r="3" spans="1:4" s="3" customFormat="1" x14ac:dyDescent="0.25">
      <c r="A3" s="3" t="s">
        <v>81</v>
      </c>
      <c r="B3" s="1" t="s">
        <v>141</v>
      </c>
      <c r="C3" s="3" t="s">
        <v>184</v>
      </c>
      <c r="D3" s="3" t="str">
        <f>Table1[[#This Row],[Column5]]</f>
        <v>C25379</v>
      </c>
    </row>
    <row r="4" spans="1:4" s="3" customFormat="1" x14ac:dyDescent="0.25">
      <c r="A4" s="3" t="s">
        <v>82</v>
      </c>
      <c r="B4" s="1" t="s">
        <v>132</v>
      </c>
      <c r="C4" s="3" t="s">
        <v>184</v>
      </c>
      <c r="D4" s="3" t="str">
        <f>Table1[[#This Row],[Column5]]</f>
        <v>C17901</v>
      </c>
    </row>
    <row r="5" spans="1:4" s="3" customFormat="1" x14ac:dyDescent="0.25">
      <c r="A5" s="3" t="s">
        <v>83</v>
      </c>
      <c r="B5" s="1" t="s">
        <v>140</v>
      </c>
      <c r="C5" s="3" t="s">
        <v>184</v>
      </c>
      <c r="D5" s="3" t="str">
        <f>Table1[[#This Row],[Column5]]</f>
        <v>C17887</v>
      </c>
    </row>
    <row r="6" spans="1:4" s="3" customFormat="1" x14ac:dyDescent="0.25">
      <c r="A6" s="3" t="s">
        <v>84</v>
      </c>
      <c r="B6" s="1" t="s">
        <v>144</v>
      </c>
      <c r="C6" s="3" t="s">
        <v>184</v>
      </c>
      <c r="D6" s="3" t="str">
        <f>Table1[[#This Row],[Column5]]</f>
        <v>C2930433</v>
      </c>
    </row>
    <row r="7" spans="1:4" s="3" customFormat="1" x14ac:dyDescent="0.25">
      <c r="A7" s="3" t="s">
        <v>85</v>
      </c>
      <c r="B7" s="3" t="s">
        <v>138</v>
      </c>
      <c r="C7" s="3" t="s">
        <v>184</v>
      </c>
      <c r="D7" s="3" t="str">
        <f>Table1[[#This Row],[Column5]]</f>
        <v>C17948</v>
      </c>
    </row>
    <row r="8" spans="1:4" s="3" customFormat="1" x14ac:dyDescent="0.25">
      <c r="A8" s="3" t="s">
        <v>86</v>
      </c>
      <c r="B8" s="1" t="s">
        <v>133</v>
      </c>
      <c r="C8" s="3" t="s">
        <v>184</v>
      </c>
      <c r="D8" s="3" t="str">
        <f>Table1[[#This Row],[Column5]]</f>
        <v>C17902</v>
      </c>
    </row>
    <row r="9" spans="1:4" x14ac:dyDescent="0.25">
      <c r="A9" s="1" t="s">
        <v>87</v>
      </c>
      <c r="B9" s="1" t="s">
        <v>135</v>
      </c>
      <c r="C9" s="3" t="s">
        <v>184</v>
      </c>
      <c r="D9" s="3" t="str">
        <f>Table1[[#This Row],[Column5]]</f>
        <v>C17927</v>
      </c>
    </row>
    <row r="10" spans="1:4" s="3" customFormat="1" x14ac:dyDescent="0.25"/>
    <row r="11" spans="1:4" s="3" customFormat="1" x14ac:dyDescent="0.25">
      <c r="A11" s="3" t="s">
        <v>88</v>
      </c>
      <c r="B11" s="1" t="s">
        <v>143</v>
      </c>
      <c r="C11" s="3" t="s">
        <v>184</v>
      </c>
      <c r="D11" s="3" t="str">
        <f>Table1[[#This Row],[Column5]]</f>
        <v>C142747</v>
      </c>
    </row>
    <row r="12" spans="1:4" x14ac:dyDescent="0.25">
      <c r="A12" s="1" t="s">
        <v>89</v>
      </c>
      <c r="B12" s="1" t="s">
        <v>142</v>
      </c>
      <c r="C12" s="3" t="s">
        <v>193</v>
      </c>
      <c r="D12" s="3" t="str">
        <f>Table1[[#This Row],[Column5]]</f>
        <v>C5137553</v>
      </c>
    </row>
    <row r="13" spans="1:4" s="3" customFormat="1" x14ac:dyDescent="0.25">
      <c r="A13" s="3" t="s">
        <v>90</v>
      </c>
      <c r="B13" s="1" t="s">
        <v>131</v>
      </c>
      <c r="C13" s="3" t="s">
        <v>193</v>
      </c>
      <c r="D13" s="3" t="str">
        <f>Table1[[#This Row],[Column5]]</f>
        <v>C24497</v>
      </c>
    </row>
    <row r="14" spans="1:4" s="3" customFormat="1" x14ac:dyDescent="0.25">
      <c r="A14" s="3" t="s">
        <v>91</v>
      </c>
      <c r="B14" s="3" t="s">
        <v>136</v>
      </c>
      <c r="C14" s="3" t="s">
        <v>193</v>
      </c>
      <c r="D14" s="3" t="str">
        <f>Table1[[#This Row],[Column5]]</f>
        <v>C1848</v>
      </c>
    </row>
    <row r="15" spans="1:4" s="3" customFormat="1" x14ac:dyDescent="0.25">
      <c r="A15" s="3" t="s">
        <v>92</v>
      </c>
      <c r="B15" s="1" t="s">
        <v>134</v>
      </c>
      <c r="C15" s="3" t="s">
        <v>193</v>
      </c>
      <c r="D15" s="3" t="str">
        <f>Table1[[#This Row],[Column5]]</f>
        <v>C13585</v>
      </c>
    </row>
    <row r="17" spans="1:4" ht="14.4" x14ac:dyDescent="0.3">
      <c r="A17" s="3" t="s">
        <v>110</v>
      </c>
      <c r="B17" s="1" t="s">
        <v>152</v>
      </c>
      <c r="C17" t="s">
        <v>198</v>
      </c>
      <c r="D17" s="1" t="str">
        <f>Inclusive!F23</f>
        <v>C5342990</v>
      </c>
    </row>
    <row r="18" spans="1:4" x14ac:dyDescent="0.25">
      <c r="A18" s="5" t="s">
        <v>200</v>
      </c>
      <c r="B18" s="5" t="s">
        <v>156</v>
      </c>
      <c r="C18" s="6" t="s">
        <v>12</v>
      </c>
      <c r="D18" s="1" t="str">
        <f>Inclusive!F21</f>
        <v>C91144</v>
      </c>
    </row>
    <row r="19" spans="1:4" x14ac:dyDescent="0.25">
      <c r="A19" s="5"/>
      <c r="B19" s="5"/>
      <c r="C19" s="6"/>
    </row>
    <row r="20" spans="1:4" x14ac:dyDescent="0.25">
      <c r="A20" s="3" t="s">
        <v>177</v>
      </c>
      <c r="B20" s="1" t="s">
        <v>178</v>
      </c>
      <c r="C20" s="3" t="s">
        <v>202</v>
      </c>
      <c r="D20" s="1" t="str">
        <f>Inclusive!F27</f>
        <v>C51680</v>
      </c>
    </row>
    <row r="21" spans="1:4" s="3" customFormat="1" x14ac:dyDescent="0.25">
      <c r="A21" s="3" t="s">
        <v>98</v>
      </c>
      <c r="B21" s="1" t="s">
        <v>145</v>
      </c>
      <c r="C21" s="3" t="s">
        <v>204</v>
      </c>
      <c r="D21" s="1" t="str">
        <f>Inclusive!F28</f>
        <v>C69082</v>
      </c>
    </row>
    <row r="22" spans="1:4" s="3" customFormat="1" x14ac:dyDescent="0.25">
      <c r="A22" s="3" t="s">
        <v>99</v>
      </c>
      <c r="B22" s="1" t="s">
        <v>153</v>
      </c>
      <c r="C22" s="3" t="s">
        <v>26</v>
      </c>
      <c r="D22" s="1" t="str">
        <f>Inclusive!F29</f>
        <v>C131974</v>
      </c>
    </row>
    <row r="23" spans="1:4" x14ac:dyDescent="0.25">
      <c r="A23" s="1" t="s">
        <v>100</v>
      </c>
      <c r="B23" s="1" t="s">
        <v>139</v>
      </c>
      <c r="C23" s="1" t="s">
        <v>51</v>
      </c>
      <c r="D23" s="1" t="str">
        <f>Inclusive!F30</f>
        <v>C2898686</v>
      </c>
    </row>
    <row r="24" spans="1:4" x14ac:dyDescent="0.25">
      <c r="A24" s="3" t="s">
        <v>117</v>
      </c>
      <c r="B24" s="1" t="s">
        <v>150</v>
      </c>
      <c r="C24" s="1" t="s">
        <v>51</v>
      </c>
      <c r="D24" s="1" t="str">
        <f>Inclusive!F31</f>
        <v>C50754</v>
      </c>
    </row>
    <row r="25" spans="1:4" x14ac:dyDescent="0.25">
      <c r="A25" s="3" t="s">
        <v>101</v>
      </c>
      <c r="B25" s="1" t="s">
        <v>149</v>
      </c>
      <c r="C25" s="3" t="s">
        <v>208</v>
      </c>
      <c r="D25" s="1" t="str">
        <f>Inclusive!F32</f>
        <v>C2860743</v>
      </c>
    </row>
    <row r="26" spans="1:4" s="3" customFormat="1" x14ac:dyDescent="0.25">
      <c r="A26" s="3" t="s">
        <v>103</v>
      </c>
      <c r="B26" s="1" t="s">
        <v>157</v>
      </c>
      <c r="C26" s="3" t="s">
        <v>210</v>
      </c>
      <c r="D26" s="1" t="str">
        <f>Inclusive!F33</f>
        <v>C2984261</v>
      </c>
    </row>
    <row r="27" spans="1:4" s="3" customFormat="1" x14ac:dyDescent="0.25">
      <c r="A27" s="3" t="s">
        <v>104</v>
      </c>
      <c r="B27" s="1" t="s">
        <v>154</v>
      </c>
      <c r="C27" s="3" t="s">
        <v>210</v>
      </c>
      <c r="D27" s="1" t="str">
        <f>Inclusive!F34</f>
        <v>C434442 </v>
      </c>
    </row>
    <row r="28" spans="1:4" s="3" customFormat="1" x14ac:dyDescent="0.25">
      <c r="A28" s="3" t="s">
        <v>105</v>
      </c>
      <c r="B28" s="1" t="s">
        <v>148</v>
      </c>
      <c r="C28" s="3" t="s">
        <v>210</v>
      </c>
      <c r="D28" s="1"/>
    </row>
    <row r="29" spans="1:4" x14ac:dyDescent="0.25">
      <c r="A29" s="3" t="s">
        <v>106</v>
      </c>
      <c r="B29" s="1" t="s">
        <v>155</v>
      </c>
      <c r="C29" s="3" t="s">
        <v>212</v>
      </c>
      <c r="D29" s="1" t="str">
        <f>Inclusive!F36</f>
        <v>C5355897</v>
      </c>
    </row>
    <row r="30" spans="1:4" x14ac:dyDescent="0.25">
      <c r="A30" s="1" t="s">
        <v>107</v>
      </c>
      <c r="B30" s="1" t="s">
        <v>147</v>
      </c>
      <c r="C30" s="1" t="s">
        <v>54</v>
      </c>
      <c r="D30" s="1" t="str">
        <f>Inclusive!F37</f>
        <v>C962159</v>
      </c>
    </row>
    <row r="33" spans="1:2" x14ac:dyDescent="0.25">
      <c r="A33" s="3"/>
      <c r="B33" s="3"/>
    </row>
  </sheetData>
  <conditionalFormatting sqref="A2:A30">
    <cfRule type="containsText" dxfId="0" priority="1" operator="containsText" text="DONE">
      <formula>NOT(ISERROR(SEARCH("DONE",A2)))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D468-810C-4EBE-B830-FE01E4A2676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Inclusive</vt:lpstr>
      <vt:lpstr>JLCPCB</vt:lpstr>
      <vt:lpstr>LCSC Part#</vt:lpstr>
      <vt:lpstr>Inclusive!description</vt:lpstr>
      <vt:lpstr>Inclusive!distributors</vt:lpstr>
      <vt:lpstr>Inclusive!learn</vt:lpstr>
    </vt:vector>
  </TitlesOfParts>
  <Company>Home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Old Computer</dc:creator>
  <cp:lastModifiedBy>Christopher Coulston</cp:lastModifiedBy>
  <cp:lastPrinted>2018-05-31T01:44:22Z</cp:lastPrinted>
  <dcterms:created xsi:type="dcterms:W3CDTF">2009-07-11T01:09:42Z</dcterms:created>
  <dcterms:modified xsi:type="dcterms:W3CDTF">2025-06-05T17:30:17Z</dcterms:modified>
</cp:coreProperties>
</file>