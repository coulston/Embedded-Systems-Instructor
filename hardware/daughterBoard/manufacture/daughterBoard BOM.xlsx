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\Documents\GitHub\Embedded-Systems-Instructor\Manufacturing Files\daughterBoard\"/>
    </mc:Choice>
  </mc:AlternateContent>
  <xr:revisionPtr revIDLastSave="0" documentId="13_ncr:1_{C73136CF-683A-47C6-9EC6-DB347BEA3D72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igikey" sheetId="6" r:id="rId1"/>
    <sheet name="AliExpress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7" l="1"/>
  <c r="G22" i="7"/>
  <c r="G23" i="7"/>
  <c r="I5" i="7"/>
  <c r="J5" i="7" s="1"/>
  <c r="I7" i="7"/>
  <c r="J7" i="7" s="1"/>
  <c r="I8" i="7"/>
  <c r="J8" i="7" s="1"/>
  <c r="I10" i="7"/>
  <c r="J10" i="7" s="1"/>
  <c r="I11" i="7"/>
  <c r="J11" i="7" s="1"/>
  <c r="I12" i="7"/>
  <c r="J12" i="7" s="1"/>
  <c r="I14" i="7"/>
  <c r="J14" i="7" s="1"/>
  <c r="I15" i="7"/>
  <c r="J15" i="7" s="1"/>
  <c r="I16" i="7"/>
  <c r="J16" i="7" s="1"/>
  <c r="I18" i="7"/>
  <c r="J18" i="7" s="1"/>
  <c r="I19" i="7"/>
  <c r="J19" i="7" s="1"/>
  <c r="I20" i="7"/>
  <c r="J20" i="7" s="1"/>
  <c r="I23" i="7"/>
  <c r="J23" i="7" s="1"/>
  <c r="I24" i="7"/>
  <c r="J24" i="7" s="1"/>
  <c r="I26" i="7"/>
  <c r="J26" i="7" s="1"/>
  <c r="I3" i="7"/>
  <c r="J3" i="7" s="1"/>
  <c r="G5" i="7"/>
  <c r="G7" i="7"/>
  <c r="G8" i="7"/>
  <c r="G10" i="7"/>
  <c r="G11" i="7"/>
  <c r="G12" i="7"/>
  <c r="G14" i="7"/>
  <c r="G15" i="7"/>
  <c r="G16" i="7"/>
  <c r="G18" i="7"/>
  <c r="G19" i="7"/>
  <c r="G20" i="7"/>
  <c r="G24" i="7"/>
  <c r="G26" i="7"/>
  <c r="G3" i="7"/>
  <c r="J30" i="6"/>
  <c r="L30" i="6" s="1"/>
  <c r="J20" i="6"/>
  <c r="L20" i="6" s="1"/>
  <c r="M20" i="6" s="1"/>
  <c r="H20" i="6"/>
  <c r="J19" i="6"/>
  <c r="L19" i="6" s="1"/>
  <c r="M19" i="6" s="1"/>
  <c r="H19" i="6"/>
  <c r="J18" i="6"/>
  <c r="L18" i="6" s="1"/>
  <c r="M18" i="6" s="1"/>
  <c r="H18" i="6"/>
  <c r="J15" i="6"/>
  <c r="H15" i="6"/>
  <c r="J14" i="6"/>
  <c r="H14" i="6"/>
  <c r="J13" i="6"/>
  <c r="L13" i="6" s="1"/>
  <c r="M13" i="6" s="1"/>
  <c r="H13" i="6"/>
  <c r="J12" i="6"/>
  <c r="L12" i="6" s="1"/>
  <c r="M12" i="6" s="1"/>
  <c r="H12" i="6"/>
  <c r="J11" i="6"/>
  <c r="L11" i="6" s="1"/>
  <c r="M11" i="6" s="1"/>
  <c r="H11" i="6"/>
  <c r="J10" i="6"/>
  <c r="L10" i="6" s="1"/>
  <c r="M10" i="6" s="1"/>
  <c r="H10" i="6"/>
  <c r="J9" i="6"/>
  <c r="H9" i="6"/>
  <c r="J7" i="6"/>
  <c r="L7" i="6" s="1"/>
  <c r="M7" i="6" s="1"/>
  <c r="H7" i="6"/>
  <c r="J6" i="6"/>
  <c r="L6" i="6" s="1"/>
  <c r="M6" i="6" s="1"/>
  <c r="H6" i="6"/>
  <c r="J4" i="6"/>
  <c r="L4" i="6" s="1"/>
  <c r="M4" i="6" s="1"/>
  <c r="H4" i="6"/>
  <c r="J3" i="6"/>
  <c r="L3" i="6" s="1"/>
  <c r="M3" i="6" s="1"/>
  <c r="H3" i="6"/>
  <c r="E28" i="7" l="1"/>
  <c r="G28" i="7" s="1"/>
  <c r="M30" i="6"/>
  <c r="F30" i="6"/>
  <c r="H30" i="6" s="1"/>
  <c r="J28" i="7" l="1"/>
</calcChain>
</file>

<file path=xl/sharedStrings.xml><?xml version="1.0" encoding="utf-8"?>
<sst xmlns="http://schemas.openxmlformats.org/spreadsheetml/2006/main" count="176" uniqueCount="112">
  <si>
    <t>Lite-On</t>
  </si>
  <si>
    <t>Custom</t>
  </si>
  <si>
    <t>C1206</t>
  </si>
  <si>
    <t>LTST-C150GKT</t>
  </si>
  <si>
    <t>160-1169-1-ND</t>
  </si>
  <si>
    <t>D1206</t>
  </si>
  <si>
    <t>R1206</t>
  </si>
  <si>
    <t>Description</t>
  </si>
  <si>
    <t>Foot</t>
  </si>
  <si>
    <t>Unit Cost</t>
  </si>
  <si>
    <t>Net Cost</t>
  </si>
  <si>
    <t>Manf</t>
  </si>
  <si>
    <t>Manf Part #</t>
  </si>
  <si>
    <t>DigiKey Part #</t>
  </si>
  <si>
    <t>Per Qty</t>
  </si>
  <si>
    <t>DigiKey Order</t>
  </si>
  <si>
    <t>Parts</t>
  </si>
  <si>
    <t>Bulk</t>
  </si>
  <si>
    <t>Inventory</t>
  </si>
  <si>
    <t>Qty Need</t>
  </si>
  <si>
    <t>Order</t>
  </si>
  <si>
    <t>Per Student</t>
  </si>
  <si>
    <t>160-1167-1-ND</t>
  </si>
  <si>
    <t>LTST-C150CKT</t>
  </si>
  <si>
    <t>Samsung</t>
  </si>
  <si>
    <t>541-3983-1-ND</t>
  </si>
  <si>
    <t>Vishay Dale</t>
  </si>
  <si>
    <t>CRCW120610K0FKEAC</t>
  </si>
  <si>
    <t>1276-1165-1-ND</t>
  </si>
  <si>
    <t>CL31B104JBCNNNC</t>
  </si>
  <si>
    <t>10k ohm</t>
  </si>
  <si>
    <t>0.1uF</t>
  </si>
  <si>
    <t>10uF</t>
  </si>
  <si>
    <t>Green SM</t>
  </si>
  <si>
    <t>Red SM</t>
  </si>
  <si>
    <t>Purchase</t>
  </si>
  <si>
    <t>1276-1079-1-ND</t>
  </si>
  <si>
    <t>CL31A106KQHNNNE</t>
  </si>
  <si>
    <t>1k ohm</t>
  </si>
  <si>
    <t>541-3980-1-ND</t>
  </si>
  <si>
    <t>CRCW12061K00FKEAC</t>
  </si>
  <si>
    <t>Yellow</t>
  </si>
  <si>
    <t>160-1406-1-ND</t>
  </si>
  <si>
    <t>LTST-C150KSKT</t>
  </si>
  <si>
    <t>CONN HDR 6POS 0.1 TIN PCB</t>
  </si>
  <si>
    <t>Sullins Connector Solutions</t>
  </si>
  <si>
    <t>PPTC061LFBN-RC</t>
  </si>
  <si>
    <t>S7004-ND</t>
  </si>
  <si>
    <t>6 pos header</t>
  </si>
  <si>
    <t>S7072-ND</t>
  </si>
  <si>
    <t>CONN HDR 8POS 0.1 TIN PCB</t>
  </si>
  <si>
    <t>PPTC042LFBN-RC</t>
  </si>
  <si>
    <t>2x4 pos header</t>
  </si>
  <si>
    <t>Spacer</t>
  </si>
  <si>
    <t>145-13RS025092-ND</t>
  </si>
  <si>
    <t>Essentra Components</t>
  </si>
  <si>
    <t>13RS025092</t>
  </si>
  <si>
    <t>H148-ND</t>
  </si>
  <si>
    <t>B&amp;F Fastener Supply</t>
  </si>
  <si>
    <t>PMS 440 0063 SL</t>
  </si>
  <si>
    <t>#4-40 Pan Head Machine Screw Slotted Drive Steel</t>
  </si>
  <si>
    <t>H216-ND</t>
  </si>
  <si>
    <t>HNZ 440</t>
  </si>
  <si>
    <t>#4-40 Hex Nut 0.250" (6.35mm) 1/4"</t>
  </si>
  <si>
    <t>4-40 nut</t>
  </si>
  <si>
    <t>4-40 screw</t>
  </si>
  <si>
    <t>CKN12222-1-ND</t>
  </si>
  <si>
    <t>C&amp;K</t>
  </si>
  <si>
    <t>PTS526 SMG15 SMTR2 LFS</t>
  </si>
  <si>
    <t>Tactile Switch SPST-NO Top Actuated Surface Mount</t>
  </si>
  <si>
    <t>link</t>
  </si>
  <si>
    <t>M3 screw</t>
  </si>
  <si>
    <t>M3 nut</t>
  </si>
  <si>
    <t>GY521</t>
  </si>
  <si>
    <t>576-1259-1-ND</t>
  </si>
  <si>
    <t>Micrel</t>
  </si>
  <si>
    <t>MIC5205-3.3YM5 TR</t>
  </si>
  <si>
    <t>455-1749-6-ND</t>
  </si>
  <si>
    <t>Connector Header Surface Mount, Right Angle 2 position 0.079" (2.00mm)</t>
  </si>
  <si>
    <t>JST Sales America Inc.</t>
  </si>
  <si>
    <t>S2B-PH-SM4-TB(LF)(SN)</t>
  </si>
  <si>
    <t>Linear Voltage Regulator IC Positive Fixed 1 Output  150mA SOT-23-5</t>
  </si>
  <si>
    <t>SOT23-5</t>
  </si>
  <si>
    <t>JST2</t>
  </si>
  <si>
    <t>Slide Switch SP3T Surface Mount, Right Angle</t>
  </si>
  <si>
    <t>AYZ0103AGRLC</t>
  </si>
  <si>
    <t>401-2014-1-ND</t>
  </si>
  <si>
    <t>Charger IC Lithium Ion TSOT-23-5</t>
  </si>
  <si>
    <t>Analog Devices Inc.</t>
  </si>
  <si>
    <t>LTC4054ES5-4.2#TRMPBF</t>
  </si>
  <si>
    <t>LTC4054ES5-4.2#TRMPBFCT-ND</t>
  </si>
  <si>
    <t>STMicroelectronics</t>
  </si>
  <si>
    <t>497-5809-1-ND</t>
  </si>
  <si>
    <t>STC4054GR</t>
  </si>
  <si>
    <t>Linear Voltage Regulator IC Positive Fixed 1 Output 200mA SOT-23</t>
  </si>
  <si>
    <t>Torex Semiconductor Ltd</t>
  </si>
  <si>
    <t>XC6206P332MR-G</t>
  </si>
  <si>
    <t>XC6206P332MR-G-ND</t>
  </si>
  <si>
    <t>SOT23</t>
  </si>
  <si>
    <t>2pin JST</t>
  </si>
  <si>
    <t>CONN HDR 2POS 0.1 TIN PCB</t>
  </si>
  <si>
    <t>2 pos header</t>
  </si>
  <si>
    <t>2.2k ohm</t>
  </si>
  <si>
    <t>H36 3.7v 150mah 30C LIPO Battery</t>
  </si>
  <si>
    <t>Pcs / Order</t>
  </si>
  <si>
    <t>Cost</t>
  </si>
  <si>
    <t>Tactile Switch SPST-NO Top Actuated Surface Mount H=2.3</t>
  </si>
  <si>
    <t>Spacer 11mm, M3, White</t>
  </si>
  <si>
    <t>M3 nut white</t>
  </si>
  <si>
    <t>M3 screw, white 5mm</t>
  </si>
  <si>
    <t>MCP73831</t>
  </si>
  <si>
    <t>MCP73831T-2DCI/OT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</si>
</sst>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17" fontId="2" fillId="0" borderId="0" xfId="0" applyNumberFormat="1" applyFont="1"/>
    <xf numFmtId="0" fontId="4" fillId="0" borderId="0" xfId="1" applyFill="1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1" fillId="0" borderId="0" xfId="0" applyFont="1" applyAlignment="1">
      <alignment horizontal="center"/>
    </xf>
    <xf numFmtId="0" fontId="4" fillId="0" borderId="0" xfId="1"/>
    <xf numFmtId="0" fontId="5" fillId="2" borderId="0" xfId="0" applyFont="1" applyFill="1"/>
    <xf numFmtId="0" fontId="3" fillId="2" borderId="0" xfId="0" applyFont="1" applyFill="1"/>
    <xf numFmtId="0" fontId="6" fillId="2" borderId="0" xfId="0" applyFont="1" applyFill="1"/>
    <xf numFmtId="164" fontId="6" fillId="2" borderId="0" xfId="0" applyNumberFormat="1" applyFont="1" applyFill="1"/>
    <xf numFmtId="164" fontId="2" fillId="2" borderId="0" xfId="0" applyNumberFormat="1" applyFont="1" applyFill="1"/>
    <xf numFmtId="0" fontId="5" fillId="3" borderId="0" xfId="0" applyFont="1" applyFill="1"/>
    <xf numFmtId="0" fontId="3" fillId="3" borderId="0" xfId="0" applyFont="1" applyFill="1"/>
    <xf numFmtId="0" fontId="6" fillId="3" borderId="0" xfId="0" applyFont="1" applyFill="1"/>
    <xf numFmtId="164" fontId="6" fillId="3" borderId="0" xfId="0" applyNumberFormat="1" applyFont="1" applyFill="1"/>
    <xf numFmtId="164" fontId="2" fillId="3" borderId="0" xfId="0" applyNumberFormat="1" applyFont="1" applyFill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2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colors>
    <mruColors>
      <color rgb="FFD7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4" displayName="Table14" ref="A2:M30" totalsRowShown="0" headerRowDxfId="28" dataDxfId="27">
  <autoFilter ref="A2:M30" xr:uid="{00000000-0009-0000-0100-000003000000}"/>
  <tableColumns count="13">
    <tableColumn id="1" xr3:uid="{00000000-0010-0000-0000-000001000000}" name="Description" dataDxfId="26"/>
    <tableColumn id="2" xr3:uid="{00000000-0010-0000-0000-000002000000}" name="Manf" dataDxfId="25"/>
    <tableColumn id="3" xr3:uid="{00000000-0010-0000-0000-000003000000}" name="Manf Part #" dataDxfId="24"/>
    <tableColumn id="4" xr3:uid="{00000000-0010-0000-0000-000004000000}" name="DigiKey Part #" dataDxfId="23"/>
    <tableColumn id="5" xr3:uid="{00000000-0010-0000-0000-000005000000}" name="Foot" dataDxfId="22"/>
    <tableColumn id="6" xr3:uid="{00000000-0010-0000-0000-000006000000}" name="Unit Cost" dataDxfId="21"/>
    <tableColumn id="7" xr3:uid="{00000000-0010-0000-0000-000007000000}" name="Per Qty" dataDxfId="20"/>
    <tableColumn id="8" xr3:uid="{00000000-0010-0000-0000-000008000000}" name="Per Student" dataDxfId="19"/>
    <tableColumn id="9" xr3:uid="{00000000-0010-0000-0000-000009000000}" name="Bulk" dataDxfId="18"/>
    <tableColumn id="10" xr3:uid="{00000000-0010-0000-0000-00000A000000}" name="Qty Need" dataDxfId="17"/>
    <tableColumn id="11" xr3:uid="{00000000-0010-0000-0000-00000B000000}" name="Inventory" dataDxfId="16"/>
    <tableColumn id="12" xr3:uid="{00000000-0010-0000-0000-00000C000000}" name="Order" dataDxfId="15"/>
    <tableColumn id="14" xr3:uid="{00000000-0010-0000-0000-00000E000000}" name="Net Cost" dataDxfId="1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135" displayName="Table135" ref="A2:J29" totalsRowShown="0" headerRowDxfId="13" dataDxfId="12">
  <autoFilter ref="A2:J29" xr:uid="{00000000-0009-0000-0100-000004000000}"/>
  <tableColumns count="10">
    <tableColumn id="1" xr3:uid="{00000000-0010-0000-0100-000001000000}" name="Description" dataDxfId="11"/>
    <tableColumn id="2" xr3:uid="{00000000-0010-0000-0100-000002000000}" name="Manf" dataDxfId="10"/>
    <tableColumn id="3" xr3:uid="{00000000-0010-0000-0100-000003000000}" name="Pcs / Order" dataDxfId="9"/>
    <tableColumn id="5" xr3:uid="{00000000-0010-0000-0100-000005000000}" name="Foot" dataDxfId="8"/>
    <tableColumn id="6" xr3:uid="{00000000-0010-0000-0100-000006000000}" name="Cost" dataDxfId="7"/>
    <tableColumn id="7" xr3:uid="{00000000-0010-0000-0100-000007000000}" name="Per Qty" dataDxfId="6"/>
    <tableColumn id="8" xr3:uid="{00000000-0010-0000-0100-000008000000}" name="Per Student" dataDxfId="5"/>
    <tableColumn id="11" xr3:uid="{00000000-0010-0000-0100-00000B000000}" name="Inventory" dataDxfId="4"/>
    <tableColumn id="12" xr3:uid="{00000000-0010-0000-0100-00000C000000}" name="Order" dataDxfId="3"/>
    <tableColumn id="14" xr3:uid="{00000000-0010-0000-0100-00000E000000}" name="Net Cost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2974022339.html?spm=a2g0o.productlist.0.0.2678c26d71C0SX&amp;algo_pvid=74f6a36c-5798-4022-b1da-f688d91ed74d&amp;algo_exp_id=74f6a36c-5798-4022-b1da-f688d91ed74d-1&amp;pdp_ext_f=%7B%22sku_id%22%3A%2212000023027635260%22%7D" TargetMode="External"/><Relationship Id="rId13" Type="http://schemas.openxmlformats.org/officeDocument/2006/relationships/hyperlink" Target="https://www.aliexpress.com/item/2031685194.html?spm=a2g0o.productlist.0.0.158d46e3p9DKbj&amp;algo_pvid=e81fc924-19dc-44a4-8e8b-217d4b948f34&amp;algo_exp_id=e81fc924-19dc-44a4-8e8b-217d4b948f34-10&amp;pdp_ext_f=%7B%22sku_id%22%3A%2265106616640%22%7D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aliexpress.com/item/32982421676.html?spm=a2g0o.productlist.0.0.394dbcfbnjsJYd&amp;algo_pvid=061fc06b-3ced-4a7d-92f9-5d849be43830&amp;algo_expid=061fc06b-3ced-4a7d-92f9-5d849be43830-0&amp;btsid=0bb0623b16016528743757518eaf50&amp;ws_ab_test=searchweb0_0,searchw" TargetMode="External"/><Relationship Id="rId7" Type="http://schemas.openxmlformats.org/officeDocument/2006/relationships/hyperlink" Target="https://www.aliexpress.com/item/32847115923.html?spm=a2g0o.detail.1000023.6.4ccc5890SBA9vw" TargetMode="External"/><Relationship Id="rId12" Type="http://schemas.openxmlformats.org/officeDocument/2006/relationships/hyperlink" Target="https://www.aliexpress.com/item/32967298736.html?spm=a2g0o.productlist.0.0.82273f3eqTWgMI&amp;algo_pvid=5bb4b1e0-b617-49c1-9cd7-93d930043590&amp;algo_exp_id=5bb4b1e0-b617-49c1-9cd7-93d930043590-2&amp;pdp_ext_f=%7B%22sku_id%22%3A%2266645096831%22%7D" TargetMode="External"/><Relationship Id="rId17" Type="http://schemas.openxmlformats.org/officeDocument/2006/relationships/hyperlink" Target="https://www.aliexpress.com/item/32958433167.html?spm=a2g0o.productlist.0.0.50733cd6BKwn3a&amp;algo_pvid=1a4c6343-7ec7-4cd8-aac9-6683fbef41c7&amp;algo_exp_id=1a4c6343-7ec7-4cd8-aac9-6683fbef41c7-13&amp;pdp_ext_f=%7B%22sku_id%22%3A%2266415343963%22%7D" TargetMode="External"/><Relationship Id="rId2" Type="http://schemas.openxmlformats.org/officeDocument/2006/relationships/hyperlink" Target="https://www.aliexpress.com/item/32392631192.html?spm=a2g0o.productlist.0.0.364f72dbxqjPOW&amp;algo_pvid=d38864f9-cc53-4c47-b0be-2429b658a1d7&amp;algo_expid=d38864f9-cc53-4c47-b0be-2429b658a1d7-3&amp;btsid=0bb0623616016527495618337ed04e&amp;ws_ab_test=searchweb0_0,searchw" TargetMode="External"/><Relationship Id="rId16" Type="http://schemas.openxmlformats.org/officeDocument/2006/relationships/hyperlink" Target="https://www.aliexpress.com/item/1005001864385331.html?spm=a2g0o.detail.1000014.4.2d8e36f5xLSKc7&amp;gps-id=pcDetailBottomMoreOtherSeller&amp;scm=1007.33416.213724.0&amp;scm_id=1007.33416.213724.0&amp;scm-url=1007.33416.213724.0&amp;pvid=ff3f8051-bfa0-410d-9dac-a5d5f1616277&amp;_t=gps-id:pcDetailBottomMoreOtherSeller,scm-url:1007.33416.213724.0,pvid:ff3f8051-bfa0-410d-9dac-a5d5f1616277,tpp_buckets:668%232846%238111%231996&amp;&amp;pdp_ext_f=%7B%22sceneId%22:%2223416%22,%22sku_id%22:%2212000017906947363%22%7D" TargetMode="External"/><Relationship Id="rId1" Type="http://schemas.openxmlformats.org/officeDocument/2006/relationships/hyperlink" Target="https://www.aliexpress.com/item/1068215251.html?spm=a2g0o.productlist.0.0.411f7bcfhb0qMf&amp;algo_pvid=cb9791bb-327d-45e9-9651-7ad0100e79ad&amp;algo_expid=cb9791bb-327d-45e9-9651-7ad0100e79ad-23&amp;btsid=0bb0623616016522340636718ed064&amp;ws_ab_test=searchweb0_0,searchw" TargetMode="External"/><Relationship Id="rId6" Type="http://schemas.openxmlformats.org/officeDocument/2006/relationships/hyperlink" Target="https://www.aliexpress.com/item/4001289480699.html?spm=a2g0o.productlist.0.0.75af1f0bc4GUfk&amp;algo_pvid=e27de891-364a-4aa7-b40b-f54c95195250&amp;algo_expid=e27de891-364a-4aa7-b40b-f54c95195250-0&amp;btsid=0bb0622d16018336191393503eefef&amp;ws_ab_test=searchweb0_0,searchweb201602_,searchweb201603_" TargetMode="External"/><Relationship Id="rId11" Type="http://schemas.openxmlformats.org/officeDocument/2006/relationships/hyperlink" Target="https://www.aliexpress.com/item/4000146593141.html?spm=a2g0o.productlist.0.0.2fa57b5864br8d&amp;algo_pvid=ef801e41-d9e5-474d-a0f8-54d058acad41&amp;algo_exp_id=ef801e41-d9e5-474d-a0f8-54d058acad41-1&amp;pdp_ext_f=%7B%22sku_id%22%3A%2210000000447903559%22%7D" TargetMode="External"/><Relationship Id="rId5" Type="http://schemas.openxmlformats.org/officeDocument/2006/relationships/hyperlink" Target="https://www.aliexpress.com/item/32855383443.html?spm=a2g0o.productlist.0.0.157430deNWgfM4&amp;algo_pvid=c7a89f33-658f-4817-9c37-ae305ed48e11&amp;algo_expid=c7a89f33-658f-4817-9c37-ae305ed48e11-18&amp;btsid=0bb0623016016531487953764e8e33&amp;ws_ab_test=searchweb0_0,search" TargetMode="External"/><Relationship Id="rId15" Type="http://schemas.openxmlformats.org/officeDocument/2006/relationships/hyperlink" Target="https://www.aliexpress.com/item/2031685194.html?spm=a2g0o.productlist.0.0.158d46e3p9DKbj&amp;algo_pvid=e81fc924-19dc-44a4-8e8b-217d4b948f34&amp;algo_exp_id=e81fc924-19dc-44a4-8e8b-217d4b948f34-10&amp;pdp_ext_f=%7B%22sku_id%22%3A%2265106616640%22%7D" TargetMode="External"/><Relationship Id="rId10" Type="http://schemas.openxmlformats.org/officeDocument/2006/relationships/hyperlink" Target="https://www.aliexpress.com/item/32392631192.html?spm=a2g0o.productlist.0.0.364f72dbxqjPOW&amp;algo_pvid=d38864f9-cc53-4c47-b0be-2429b658a1d7&amp;algo_expid=d38864f9-cc53-4c47-b0be-2429b658a1d7-3&amp;btsid=0bb0623616016527495618337ed04e&amp;ws_ab_test=searchweb0_0,searchw" TargetMode="External"/><Relationship Id="rId19" Type="http://schemas.openxmlformats.org/officeDocument/2006/relationships/table" Target="../tables/table2.xml"/><Relationship Id="rId4" Type="http://schemas.openxmlformats.org/officeDocument/2006/relationships/hyperlink" Target="https://www.aliexpress.com/item/32955606430.html?spm=a2g0o.productlist.0.0.74857307zxFn1z&amp;algo_pvid=1b780886-7cd8-40cb-9b5b-c7183b4704c4&amp;algo_expid=1b780886-7cd8-40cb-9b5b-c7183b4704c4-5&amp;btsid=0bb0624716016529639752432eeb64&amp;ws_ab_test=searchweb0_0,searchw" TargetMode="External"/><Relationship Id="rId9" Type="http://schemas.openxmlformats.org/officeDocument/2006/relationships/hyperlink" Target="https://www.aliexpress.com/item/1005003221061447.html?spm=a2g0o.productlist.0.0.819465f8Akp0bV&amp;algo_pvid=26917bce-13c8-490e-a3e6-83bb75e63765&amp;algo_exp_id=26917bce-13c8-490e-a3e6-83bb75e63765-35&amp;pdp_ext_f=%7B%22sku_id%22%3A%2212000024722624681%22%7D" TargetMode="External"/><Relationship Id="rId14" Type="http://schemas.openxmlformats.org/officeDocument/2006/relationships/hyperlink" Target="https://www.aliexpress.com/item/2031685194.html?spm=a2g0o.productlist.0.0.158d46e3p9DKbj&amp;algo_pvid=e81fc924-19dc-44a4-8e8b-217d4b948f34&amp;algo_exp_id=e81fc924-19dc-44a4-8e8b-217d4b948f34-10&amp;pdp_ext_f=%7B%22sku_id%22%3A%2265106616640%22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opLeftCell="A3" zoomScale="145" zoomScaleNormal="145" workbookViewId="0">
      <selection activeCell="C23" sqref="C23"/>
    </sheetView>
  </sheetViews>
  <sheetFormatPr defaultColWidth="9.109375" defaultRowHeight="13.2" x14ac:dyDescent="0.25"/>
  <cols>
    <col min="1" max="1" width="26.109375" style="1" customWidth="1"/>
    <col min="2" max="2" width="18.44140625" style="1" customWidth="1"/>
    <col min="3" max="3" width="19.33203125" style="1" bestFit="1" customWidth="1"/>
    <col min="4" max="4" width="25.44140625" style="1" customWidth="1"/>
    <col min="5" max="5" width="9.109375" style="1"/>
    <col min="6" max="6" width="9.6640625" style="2" customWidth="1"/>
    <col min="7" max="7" width="9.109375" style="1"/>
    <col min="8" max="8" width="11.88671875" style="2" customWidth="1"/>
    <col min="9" max="9" width="9.109375" style="1"/>
    <col min="10" max="10" width="9.88671875" style="1" customWidth="1"/>
    <col min="11" max="11" width="9.6640625" style="1" customWidth="1"/>
    <col min="12" max="12" width="9.109375" style="1"/>
    <col min="13" max="13" width="9.5546875" style="1" bestFit="1" customWidth="1"/>
    <col min="14" max="14" width="9.5546875" style="1" customWidth="1"/>
    <col min="15" max="16384" width="9.109375" style="1"/>
  </cols>
  <sheetData>
    <row r="1" spans="1:15" ht="17.399999999999999" x14ac:dyDescent="0.3">
      <c r="A1" s="22" t="s">
        <v>15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10"/>
    </row>
    <row r="2" spans="1:15" x14ac:dyDescent="0.25">
      <c r="A2" s="1" t="s">
        <v>7</v>
      </c>
      <c r="B2" s="1" t="s">
        <v>11</v>
      </c>
      <c r="C2" s="1" t="s">
        <v>12</v>
      </c>
      <c r="D2" s="1" t="s">
        <v>13</v>
      </c>
      <c r="E2" s="1" t="s">
        <v>8</v>
      </c>
      <c r="F2" s="2" t="s">
        <v>9</v>
      </c>
      <c r="G2" s="1" t="s">
        <v>14</v>
      </c>
      <c r="H2" s="2" t="s">
        <v>21</v>
      </c>
      <c r="I2" s="1" t="s">
        <v>17</v>
      </c>
      <c r="J2" s="1" t="s">
        <v>19</v>
      </c>
      <c r="K2" s="1" t="s">
        <v>18</v>
      </c>
      <c r="L2" s="1" t="s">
        <v>20</v>
      </c>
      <c r="M2" s="1" t="s">
        <v>10</v>
      </c>
    </row>
    <row r="3" spans="1:15" x14ac:dyDescent="0.25">
      <c r="A3" s="3" t="s">
        <v>38</v>
      </c>
      <c r="B3" s="3" t="s">
        <v>26</v>
      </c>
      <c r="C3" s="1" t="s">
        <v>40</v>
      </c>
      <c r="D3" s="1" t="s">
        <v>39</v>
      </c>
      <c r="E3" s="1" t="s">
        <v>6</v>
      </c>
      <c r="F3" s="2">
        <v>2.5499999999999998E-2</v>
      </c>
      <c r="G3" s="1">
        <v>4</v>
      </c>
      <c r="H3" s="4">
        <f t="shared" ref="H3:H4" si="0">G3*F3</f>
        <v>0.10199999999999999</v>
      </c>
      <c r="I3" s="3"/>
      <c r="J3" s="3">
        <f>IF(I3&lt;&gt;"",I3,$B$30*G3)</f>
        <v>12</v>
      </c>
      <c r="K3" s="3"/>
      <c r="L3" s="3">
        <f t="shared" ref="L3:L4" si="1">IF(I3&lt;&gt;"",I3,IF(J3-K3&gt;0,J3-K3,0))</f>
        <v>12</v>
      </c>
      <c r="M3" s="2">
        <f t="shared" ref="M3:M4" si="2">F3*L3</f>
        <v>0.30599999999999999</v>
      </c>
    </row>
    <row r="4" spans="1:15" s="3" customFormat="1" x14ac:dyDescent="0.25">
      <c r="A4" s="3" t="s">
        <v>30</v>
      </c>
      <c r="B4" s="3" t="s">
        <v>26</v>
      </c>
      <c r="C4" s="1" t="s">
        <v>27</v>
      </c>
      <c r="D4" s="3" t="s">
        <v>25</v>
      </c>
      <c r="E4" s="3" t="s">
        <v>6</v>
      </c>
      <c r="F4" s="4">
        <v>2.81E-2</v>
      </c>
      <c r="G4" s="3">
        <v>3</v>
      </c>
      <c r="H4" s="4">
        <f t="shared" si="0"/>
        <v>8.43E-2</v>
      </c>
      <c r="J4" s="3">
        <f>IF(I4&lt;&gt;"",I4,$B$30*G4)</f>
        <v>9</v>
      </c>
      <c r="L4" s="3">
        <f t="shared" si="1"/>
        <v>9</v>
      </c>
      <c r="M4" s="2">
        <f t="shared" si="2"/>
        <v>0.25290000000000001</v>
      </c>
      <c r="N4" s="2"/>
      <c r="O4" s="2"/>
    </row>
    <row r="5" spans="1:15" s="3" customFormat="1" x14ac:dyDescent="0.25">
      <c r="C5" s="1"/>
      <c r="F5" s="4"/>
      <c r="H5" s="4"/>
      <c r="M5" s="2"/>
      <c r="N5" s="2"/>
      <c r="O5" s="2"/>
    </row>
    <row r="6" spans="1:15" s="3" customFormat="1" x14ac:dyDescent="0.25">
      <c r="A6" s="3" t="s">
        <v>31</v>
      </c>
      <c r="B6" s="3" t="s">
        <v>24</v>
      </c>
      <c r="C6" s="1" t="s">
        <v>29</v>
      </c>
      <c r="D6" s="1" t="s">
        <v>28</v>
      </c>
      <c r="E6" s="1" t="s">
        <v>2</v>
      </c>
      <c r="F6" s="4">
        <v>3.2719999999999999E-2</v>
      </c>
      <c r="G6" s="3">
        <v>1</v>
      </c>
      <c r="H6" s="4">
        <f t="shared" ref="H6:H20" si="3">G6*F6</f>
        <v>3.2719999999999999E-2</v>
      </c>
      <c r="J6" s="3">
        <f>IF(I6&lt;&gt;"",I6,$B$30*G6)</f>
        <v>3</v>
      </c>
      <c r="L6" s="3">
        <f t="shared" ref="L6:L20" si="4">IF(I6&lt;&gt;"",I6,IF(J6-K6&gt;0,J6-K6,0))</f>
        <v>3</v>
      </c>
      <c r="M6" s="2">
        <f t="shared" ref="M6:M20" si="5">F6*L6</f>
        <v>9.8159999999999997E-2</v>
      </c>
      <c r="N6" s="2"/>
      <c r="O6" s="2"/>
    </row>
    <row r="7" spans="1:15" s="3" customFormat="1" x14ac:dyDescent="0.25">
      <c r="A7" s="3" t="s">
        <v>32</v>
      </c>
      <c r="B7" s="3" t="s">
        <v>24</v>
      </c>
      <c r="C7" s="1" t="s">
        <v>37</v>
      </c>
      <c r="D7" s="3" t="s">
        <v>36</v>
      </c>
      <c r="E7" s="3" t="s">
        <v>2</v>
      </c>
      <c r="F7" s="4">
        <v>5.1299999999999998E-2</v>
      </c>
      <c r="G7" s="3">
        <v>1</v>
      </c>
      <c r="H7" s="4">
        <f t="shared" si="3"/>
        <v>5.1299999999999998E-2</v>
      </c>
      <c r="J7" s="3">
        <f>IF(I7&lt;&gt;"",I7,$B$30*G7)</f>
        <v>3</v>
      </c>
      <c r="L7" s="3">
        <f t="shared" si="4"/>
        <v>3</v>
      </c>
      <c r="M7" s="2">
        <f t="shared" si="5"/>
        <v>0.15389999999999998</v>
      </c>
      <c r="N7" s="2"/>
      <c r="O7" s="2"/>
    </row>
    <row r="8" spans="1:15" s="3" customFormat="1" x14ac:dyDescent="0.25">
      <c r="C8" s="1"/>
      <c r="D8" s="1"/>
      <c r="E8" s="1"/>
      <c r="F8" s="2"/>
      <c r="G8" s="1"/>
      <c r="H8" s="2"/>
      <c r="I8" s="1"/>
      <c r="K8" s="1"/>
      <c r="M8" s="2"/>
      <c r="N8" s="2"/>
      <c r="O8" s="2"/>
    </row>
    <row r="9" spans="1:15" x14ac:dyDescent="0.25">
      <c r="A9" s="1" t="s">
        <v>69</v>
      </c>
      <c r="B9" s="1" t="s">
        <v>67</v>
      </c>
      <c r="C9" s="1" t="s">
        <v>68</v>
      </c>
      <c r="D9" s="1" t="s">
        <v>66</v>
      </c>
      <c r="E9" s="1" t="s">
        <v>1</v>
      </c>
      <c r="F9" s="2">
        <v>0.1043</v>
      </c>
      <c r="G9" s="1">
        <v>3</v>
      </c>
      <c r="H9" s="4">
        <f t="shared" si="3"/>
        <v>0.31290000000000001</v>
      </c>
      <c r="I9" s="3"/>
      <c r="J9" s="3">
        <f t="shared" ref="J9:J15" si="6">IF(I9&lt;&gt;"",I9,$B$30*G9)</f>
        <v>9</v>
      </c>
      <c r="K9" s="3"/>
      <c r="L9" s="3"/>
      <c r="M9" s="2"/>
      <c r="N9" s="2"/>
      <c r="O9" s="2"/>
    </row>
    <row r="10" spans="1:15" x14ac:dyDescent="0.25">
      <c r="A10" s="3" t="s">
        <v>84</v>
      </c>
      <c r="B10" s="1" t="s">
        <v>67</v>
      </c>
      <c r="C10" s="1" t="s">
        <v>85</v>
      </c>
      <c r="D10" s="1" t="s">
        <v>86</v>
      </c>
      <c r="E10" s="1" t="s">
        <v>1</v>
      </c>
      <c r="F10" s="2">
        <v>0.8397</v>
      </c>
      <c r="G10" s="1">
        <v>1</v>
      </c>
      <c r="H10" s="4">
        <f t="shared" si="3"/>
        <v>0.8397</v>
      </c>
      <c r="I10" s="3"/>
      <c r="J10" s="3">
        <f t="shared" si="6"/>
        <v>3</v>
      </c>
      <c r="K10" s="3"/>
      <c r="L10" s="3">
        <f t="shared" si="4"/>
        <v>3</v>
      </c>
      <c r="M10" s="2">
        <f t="shared" si="5"/>
        <v>2.5190999999999999</v>
      </c>
      <c r="N10" s="2"/>
    </row>
    <row r="11" spans="1:15" x14ac:dyDescent="0.25">
      <c r="A11" s="3" t="s">
        <v>44</v>
      </c>
      <c r="B11" s="1" t="s">
        <v>45</v>
      </c>
      <c r="C11" s="1" t="s">
        <v>46</v>
      </c>
      <c r="D11" s="1" t="s">
        <v>47</v>
      </c>
      <c r="E11" s="1" t="s">
        <v>48</v>
      </c>
      <c r="F11" s="2">
        <v>0.3705</v>
      </c>
      <c r="G11" s="1">
        <v>2</v>
      </c>
      <c r="H11" s="4">
        <f t="shared" si="3"/>
        <v>0.74099999999999999</v>
      </c>
      <c r="I11" s="3"/>
      <c r="J11" s="3">
        <f t="shared" si="6"/>
        <v>6</v>
      </c>
      <c r="K11" s="3"/>
      <c r="L11" s="3">
        <f t="shared" si="4"/>
        <v>6</v>
      </c>
      <c r="M11" s="2">
        <f t="shared" si="5"/>
        <v>2.2229999999999999</v>
      </c>
      <c r="N11" s="2"/>
    </row>
    <row r="12" spans="1:15" x14ac:dyDescent="0.25">
      <c r="A12" s="3" t="s">
        <v>50</v>
      </c>
      <c r="B12" s="1" t="s">
        <v>45</v>
      </c>
      <c r="C12" s="1" t="s">
        <v>51</v>
      </c>
      <c r="D12" s="1" t="s">
        <v>49</v>
      </c>
      <c r="E12" s="1" t="s">
        <v>52</v>
      </c>
      <c r="F12" s="2">
        <v>0.50690000000000002</v>
      </c>
      <c r="G12" s="1">
        <v>2</v>
      </c>
      <c r="H12" s="4">
        <f t="shared" si="3"/>
        <v>1.0138</v>
      </c>
      <c r="I12" s="3"/>
      <c r="J12" s="3">
        <f t="shared" si="6"/>
        <v>6</v>
      </c>
      <c r="K12" s="3"/>
      <c r="L12" s="3">
        <f t="shared" si="4"/>
        <v>6</v>
      </c>
      <c r="M12" s="2">
        <f t="shared" si="5"/>
        <v>3.0414000000000003</v>
      </c>
      <c r="N12" s="2"/>
    </row>
    <row r="13" spans="1:15" x14ac:dyDescent="0.25">
      <c r="A13" s="3" t="s">
        <v>53</v>
      </c>
      <c r="B13" s="1" t="s">
        <v>55</v>
      </c>
      <c r="C13" s="1" t="s">
        <v>56</v>
      </c>
      <c r="D13" s="1" t="s">
        <v>54</v>
      </c>
      <c r="E13" s="1" t="s">
        <v>1</v>
      </c>
      <c r="F13" s="2">
        <v>6.88E-2</v>
      </c>
      <c r="G13" s="1">
        <v>3</v>
      </c>
      <c r="H13" s="4">
        <f t="shared" si="3"/>
        <v>0.2064</v>
      </c>
      <c r="I13" s="3"/>
      <c r="J13" s="3">
        <f t="shared" si="6"/>
        <v>9</v>
      </c>
      <c r="K13" s="3"/>
      <c r="L13" s="3">
        <f t="shared" si="4"/>
        <v>9</v>
      </c>
      <c r="M13" s="2">
        <f t="shared" si="5"/>
        <v>0.61919999999999997</v>
      </c>
      <c r="N13" s="2"/>
    </row>
    <row r="14" spans="1:15" x14ac:dyDescent="0.25">
      <c r="A14" s="3" t="s">
        <v>60</v>
      </c>
      <c r="B14" s="1" t="s">
        <v>58</v>
      </c>
      <c r="C14" s="1" t="s">
        <v>59</v>
      </c>
      <c r="D14" s="1" t="s">
        <v>57</v>
      </c>
      <c r="E14" s="5" t="s">
        <v>65</v>
      </c>
      <c r="F14" s="2">
        <v>0.01</v>
      </c>
      <c r="G14" s="1">
        <v>3</v>
      </c>
      <c r="H14" s="4">
        <f t="shared" si="3"/>
        <v>0.03</v>
      </c>
      <c r="J14" s="3">
        <f t="shared" si="6"/>
        <v>9</v>
      </c>
      <c r="L14" s="3"/>
      <c r="M14" s="2"/>
      <c r="N14" s="2"/>
    </row>
    <row r="15" spans="1:15" x14ac:dyDescent="0.25">
      <c r="A15" s="3" t="s">
        <v>63</v>
      </c>
      <c r="B15" s="1" t="s">
        <v>58</v>
      </c>
      <c r="C15" s="1" t="s">
        <v>62</v>
      </c>
      <c r="D15" s="1" t="s">
        <v>61</v>
      </c>
      <c r="E15" s="1" t="s">
        <v>64</v>
      </c>
      <c r="F15" s="2">
        <v>0.01</v>
      </c>
      <c r="G15" s="1">
        <v>3</v>
      </c>
      <c r="H15" s="4">
        <f t="shared" si="3"/>
        <v>0.03</v>
      </c>
      <c r="J15" s="3">
        <f t="shared" si="6"/>
        <v>9</v>
      </c>
      <c r="L15" s="3"/>
      <c r="M15" s="2"/>
      <c r="N15" s="2"/>
    </row>
    <row r="16" spans="1:15" x14ac:dyDescent="0.25">
      <c r="D16" s="8"/>
      <c r="H16" s="4"/>
      <c r="I16" s="3"/>
      <c r="J16" s="3"/>
      <c r="K16" s="3"/>
      <c r="L16" s="3"/>
      <c r="M16" s="2"/>
      <c r="N16" s="2"/>
    </row>
    <row r="17" spans="1:16" x14ac:dyDescent="0.25">
      <c r="A17" s="7" t="s">
        <v>78</v>
      </c>
      <c r="B17" s="1" t="s">
        <v>79</v>
      </c>
      <c r="C17" s="8" t="s">
        <v>80</v>
      </c>
      <c r="D17" s="1" t="s">
        <v>77</v>
      </c>
      <c r="E17" s="8" t="s">
        <v>83</v>
      </c>
      <c r="F17" s="9">
        <v>0.45</v>
      </c>
      <c r="G17" s="8">
        <v>1</v>
      </c>
      <c r="H17" s="9"/>
      <c r="I17" s="8"/>
      <c r="J17" s="7"/>
      <c r="K17" s="8"/>
      <c r="L17" s="7"/>
      <c r="M17" s="9"/>
      <c r="N17" s="2"/>
    </row>
    <row r="18" spans="1:16" s="3" customFormat="1" x14ac:dyDescent="0.25">
      <c r="A18" s="3" t="s">
        <v>33</v>
      </c>
      <c r="B18" s="3" t="s">
        <v>0</v>
      </c>
      <c r="C18" s="1" t="s">
        <v>3</v>
      </c>
      <c r="D18" s="3" t="s">
        <v>4</v>
      </c>
      <c r="E18" s="3" t="s">
        <v>5</v>
      </c>
      <c r="F18" s="4">
        <v>0.1085</v>
      </c>
      <c r="G18" s="3">
        <v>2</v>
      </c>
      <c r="H18" s="4">
        <f t="shared" si="3"/>
        <v>0.217</v>
      </c>
      <c r="J18" s="3">
        <f>IF(I18&lt;&gt;"",I18,$B$30*G18)</f>
        <v>6</v>
      </c>
      <c r="L18" s="3">
        <f t="shared" si="4"/>
        <v>6</v>
      </c>
      <c r="M18" s="2">
        <f t="shared" si="5"/>
        <v>0.65100000000000002</v>
      </c>
      <c r="N18" s="2"/>
      <c r="O18" s="2"/>
    </row>
    <row r="19" spans="1:16" s="3" customFormat="1" x14ac:dyDescent="0.25">
      <c r="A19" s="3" t="s">
        <v>41</v>
      </c>
      <c r="B19" s="3" t="s">
        <v>0</v>
      </c>
      <c r="C19" s="1" t="s">
        <v>43</v>
      </c>
      <c r="D19" s="1" t="s">
        <v>42</v>
      </c>
      <c r="E19" s="3" t="s">
        <v>5</v>
      </c>
      <c r="F19" s="4">
        <v>0.1085</v>
      </c>
      <c r="G19" s="1">
        <v>1</v>
      </c>
      <c r="H19" s="4">
        <f t="shared" si="3"/>
        <v>0.1085</v>
      </c>
      <c r="J19" s="3">
        <f>IF(I19&lt;&gt;"",I19,$B$30*G19)</f>
        <v>3</v>
      </c>
      <c r="L19" s="3">
        <f t="shared" si="4"/>
        <v>3</v>
      </c>
      <c r="M19" s="2">
        <f t="shared" si="5"/>
        <v>0.32550000000000001</v>
      </c>
      <c r="N19" s="2"/>
      <c r="O19" s="2"/>
    </row>
    <row r="20" spans="1:16" s="3" customFormat="1" x14ac:dyDescent="0.25">
      <c r="A20" s="3" t="s">
        <v>34</v>
      </c>
      <c r="B20" s="3" t="s">
        <v>0</v>
      </c>
      <c r="C20" s="1" t="s">
        <v>23</v>
      </c>
      <c r="D20" s="3" t="s">
        <v>22</v>
      </c>
      <c r="E20" s="3" t="s">
        <v>5</v>
      </c>
      <c r="F20" s="4">
        <v>0.12189999999999999</v>
      </c>
      <c r="G20" s="3">
        <v>1</v>
      </c>
      <c r="H20" s="4">
        <f t="shared" si="3"/>
        <v>0.12189999999999999</v>
      </c>
      <c r="J20" s="3">
        <f>IF(I20&lt;&gt;"",I20,$B$30*G20)</f>
        <v>3</v>
      </c>
      <c r="L20" s="3">
        <f t="shared" si="4"/>
        <v>3</v>
      </c>
      <c r="M20" s="2">
        <f t="shared" si="5"/>
        <v>0.36569999999999997</v>
      </c>
      <c r="N20" s="2"/>
      <c r="O20" s="2"/>
    </row>
    <row r="21" spans="1:16" s="18" customFormat="1" x14ac:dyDescent="0.25">
      <c r="A21" s="17" t="s">
        <v>81</v>
      </c>
      <c r="B21" s="18" t="s">
        <v>75</v>
      </c>
      <c r="C21" s="19" t="s">
        <v>76</v>
      </c>
      <c r="D21" s="19" t="s">
        <v>74</v>
      </c>
      <c r="E21" s="19" t="s">
        <v>82</v>
      </c>
      <c r="F21" s="20">
        <v>0.42</v>
      </c>
      <c r="G21" s="19">
        <v>1</v>
      </c>
      <c r="H21" s="20"/>
      <c r="I21" s="19"/>
      <c r="J21" s="17"/>
      <c r="K21" s="19"/>
      <c r="L21" s="17"/>
      <c r="M21" s="20"/>
      <c r="N21" s="21"/>
      <c r="O21" s="21"/>
    </row>
    <row r="22" spans="1:16" s="18" customFormat="1" x14ac:dyDescent="0.25">
      <c r="A22" s="17" t="s">
        <v>94</v>
      </c>
      <c r="B22" s="18" t="s">
        <v>95</v>
      </c>
      <c r="C22" s="19" t="s">
        <v>96</v>
      </c>
      <c r="D22" s="19" t="s">
        <v>97</v>
      </c>
      <c r="E22" s="19" t="s">
        <v>98</v>
      </c>
      <c r="F22" s="20"/>
      <c r="G22" s="19"/>
      <c r="H22" s="20"/>
      <c r="I22" s="19"/>
      <c r="J22" s="17"/>
      <c r="K22" s="19"/>
      <c r="L22" s="17"/>
      <c r="M22" s="20"/>
      <c r="N22" s="21"/>
      <c r="O22" s="21"/>
    </row>
    <row r="23" spans="1:16" s="18" customFormat="1" x14ac:dyDescent="0.25">
      <c r="A23" s="7"/>
      <c r="B23" s="3"/>
      <c r="C23" s="8" t="s">
        <v>110</v>
      </c>
      <c r="D23" s="8"/>
      <c r="E23" s="8"/>
      <c r="F23" s="9"/>
      <c r="G23" s="8"/>
      <c r="H23" s="9"/>
      <c r="I23" s="8"/>
      <c r="J23" s="7"/>
      <c r="K23" s="8"/>
      <c r="L23" s="7"/>
      <c r="M23" s="9"/>
      <c r="N23" s="21"/>
      <c r="O23" s="21"/>
    </row>
    <row r="24" spans="1:16" s="18" customFormat="1" x14ac:dyDescent="0.25">
      <c r="A24" s="7"/>
      <c r="B24" s="3"/>
      <c r="C24" s="8"/>
      <c r="D24" s="8"/>
      <c r="E24" s="8"/>
      <c r="F24" s="9"/>
      <c r="G24" s="8"/>
      <c r="H24" s="9"/>
      <c r="I24" s="8"/>
      <c r="J24" s="7"/>
      <c r="K24" s="8"/>
      <c r="L24" s="7"/>
      <c r="M24" s="9"/>
      <c r="N24" s="21"/>
      <c r="O24" s="21"/>
    </row>
    <row r="25" spans="1:16" s="13" customFormat="1" x14ac:dyDescent="0.25">
      <c r="A25" s="12" t="s">
        <v>87</v>
      </c>
      <c r="B25" s="13" t="s">
        <v>88</v>
      </c>
      <c r="C25" s="14" t="s">
        <v>89</v>
      </c>
      <c r="D25" s="14" t="s">
        <v>90</v>
      </c>
      <c r="E25" s="14" t="s">
        <v>82</v>
      </c>
      <c r="F25" s="15">
        <v>2.8731</v>
      </c>
      <c r="G25" s="14">
        <v>1</v>
      </c>
      <c r="H25" s="15"/>
      <c r="I25" s="14"/>
      <c r="J25" s="12"/>
      <c r="K25" s="14"/>
      <c r="L25" s="12"/>
      <c r="M25" s="15"/>
      <c r="N25" s="16"/>
      <c r="O25" s="16"/>
    </row>
    <row r="26" spans="1:16" s="13" customFormat="1" x14ac:dyDescent="0.25">
      <c r="A26" s="12" t="s">
        <v>87</v>
      </c>
      <c r="B26" s="13" t="s">
        <v>91</v>
      </c>
      <c r="C26" s="14" t="s">
        <v>93</v>
      </c>
      <c r="D26" s="14" t="s">
        <v>92</v>
      </c>
      <c r="E26" s="14" t="s">
        <v>82</v>
      </c>
      <c r="F26" s="15">
        <v>1.1996</v>
      </c>
      <c r="G26" s="14">
        <v>1</v>
      </c>
      <c r="H26" s="15"/>
      <c r="I26" s="14"/>
      <c r="J26" s="12"/>
      <c r="K26" s="14"/>
      <c r="L26" s="12"/>
      <c r="M26" s="15"/>
      <c r="N26" s="16"/>
      <c r="O26" s="16"/>
    </row>
    <row r="27" spans="1:16" s="3" customFormat="1" x14ac:dyDescent="0.25">
      <c r="A27" s="7"/>
      <c r="C27" s="8"/>
      <c r="D27" s="8"/>
      <c r="E27" s="8"/>
      <c r="F27" s="9"/>
      <c r="G27" s="8"/>
      <c r="H27" s="9"/>
      <c r="I27" s="8"/>
      <c r="J27" s="7"/>
      <c r="K27" s="8"/>
      <c r="L27" s="7"/>
      <c r="M27" s="9"/>
      <c r="N27" s="2"/>
      <c r="O27" s="2"/>
    </row>
    <row r="28" spans="1:16" s="3" customFormat="1" x14ac:dyDescent="0.25">
      <c r="A28" s="3" t="s">
        <v>73</v>
      </c>
      <c r="C28" s="1"/>
      <c r="D28" s="1"/>
      <c r="E28" s="1"/>
      <c r="F28" s="2"/>
      <c r="G28" s="1">
        <v>1</v>
      </c>
      <c r="H28" s="2"/>
      <c r="I28" s="1"/>
      <c r="K28" s="1"/>
      <c r="M28" s="2"/>
      <c r="N28" s="2"/>
      <c r="O28" s="2"/>
    </row>
    <row r="29" spans="1:16" x14ac:dyDescent="0.25">
      <c r="J29" s="3"/>
      <c r="K29" s="3"/>
      <c r="L29" s="3"/>
    </row>
    <row r="30" spans="1:16" x14ac:dyDescent="0.25">
      <c r="A30" s="1" t="s">
        <v>35</v>
      </c>
      <c r="B30" s="1">
        <v>3</v>
      </c>
      <c r="D30" s="1" t="s">
        <v>16</v>
      </c>
      <c r="F30" s="2">
        <f>SUM(H3:H20)</f>
        <v>3.8915199999999994</v>
      </c>
      <c r="G30" s="1">
        <v>1</v>
      </c>
      <c r="H30" s="2">
        <f>F30*G30</f>
        <v>3.8915199999999994</v>
      </c>
      <c r="I30" s="2"/>
      <c r="J30" s="3">
        <f>IF(I30&lt;&gt;"",I30,$B$30*G30)</f>
        <v>3</v>
      </c>
      <c r="L30" s="3">
        <f>IF(I30&lt;&gt;"",I30,IF(J30-K30&gt;0,J30-K30,0))</f>
        <v>3</v>
      </c>
      <c r="M30" s="2">
        <f>SUM(M4:M20)</f>
        <v>10.24986</v>
      </c>
      <c r="N30" s="2"/>
      <c r="P30" s="2"/>
    </row>
    <row r="31" spans="1:16" x14ac:dyDescent="0.25">
      <c r="N31" s="2"/>
    </row>
    <row r="33" spans="1:2" x14ac:dyDescent="0.25">
      <c r="A33" s="3"/>
      <c r="B33" s="3"/>
    </row>
  </sheetData>
  <mergeCells count="1">
    <mergeCell ref="A1:M1"/>
  </mergeCells>
  <conditionalFormatting sqref="A3:A30 B30">
    <cfRule type="containsText" dxfId="1" priority="1" operator="containsText" text="DONE">
      <formula>NOT(ISERROR(SEARCH("DONE",A3)))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tabSelected="1" zoomScale="115" zoomScaleNormal="115" workbookViewId="0">
      <selection activeCell="A6" sqref="A6"/>
    </sheetView>
  </sheetViews>
  <sheetFormatPr defaultColWidth="9.109375" defaultRowHeight="13.2" x14ac:dyDescent="0.25"/>
  <cols>
    <col min="1" max="1" width="26.109375" style="1" customWidth="1"/>
    <col min="2" max="2" width="8.44140625" style="1" customWidth="1"/>
    <col min="3" max="3" width="11.109375" style="1" customWidth="1"/>
    <col min="4" max="4" width="9.109375" style="1"/>
    <col min="5" max="5" width="9.6640625" style="2" customWidth="1"/>
    <col min="6" max="6" width="9.109375" style="1"/>
    <col min="7" max="7" width="11.88671875" style="2" customWidth="1"/>
    <col min="8" max="8" width="9.6640625" style="1" customWidth="1"/>
    <col min="9" max="9" width="9.109375" style="1"/>
    <col min="10" max="10" width="9.5546875" style="1" bestFit="1" customWidth="1"/>
    <col min="11" max="11" width="9.5546875" style="1" customWidth="1"/>
    <col min="12" max="16384" width="9.109375" style="1"/>
  </cols>
  <sheetData>
    <row r="1" spans="1:12" ht="17.399999999999999" x14ac:dyDescent="0.3">
      <c r="A1" s="22" t="s">
        <v>15</v>
      </c>
      <c r="B1" s="22"/>
      <c r="C1" s="22"/>
      <c r="D1" s="22"/>
      <c r="E1" s="22"/>
      <c r="F1" s="22"/>
      <c r="G1" s="22"/>
      <c r="H1" s="22"/>
      <c r="I1" s="22"/>
      <c r="J1" s="22"/>
      <c r="K1" s="10"/>
    </row>
    <row r="2" spans="1:12" x14ac:dyDescent="0.25">
      <c r="A2" s="1" t="s">
        <v>7</v>
      </c>
      <c r="B2" s="1" t="s">
        <v>11</v>
      </c>
      <c r="C2" s="1" t="s">
        <v>104</v>
      </c>
      <c r="D2" s="1" t="s">
        <v>8</v>
      </c>
      <c r="E2" s="2" t="s">
        <v>105</v>
      </c>
      <c r="F2" s="1" t="s">
        <v>14</v>
      </c>
      <c r="G2" s="2" t="s">
        <v>21</v>
      </c>
      <c r="H2" s="1" t="s">
        <v>18</v>
      </c>
      <c r="I2" s="1" t="s">
        <v>20</v>
      </c>
      <c r="J2" s="1" t="s">
        <v>10</v>
      </c>
    </row>
    <row r="3" spans="1:12" ht="14.4" x14ac:dyDescent="0.3">
      <c r="A3" s="3" t="s">
        <v>102</v>
      </c>
      <c r="B3" s="6" t="s">
        <v>70</v>
      </c>
      <c r="C3" s="1">
        <v>100</v>
      </c>
      <c r="D3" s="1" t="s">
        <v>6</v>
      </c>
      <c r="E3" s="2">
        <v>0.45</v>
      </c>
      <c r="F3" s="1">
        <v>9</v>
      </c>
      <c r="G3" s="4">
        <f>E3*F3/C3</f>
        <v>4.0500000000000001E-2</v>
      </c>
      <c r="H3" s="3"/>
      <c r="I3" s="3">
        <f>F3*$A$29/C3</f>
        <v>18</v>
      </c>
      <c r="J3" s="2">
        <f>I3*E3</f>
        <v>8.1</v>
      </c>
    </row>
    <row r="4" spans="1:12" s="3" customFormat="1" x14ac:dyDescent="0.25">
      <c r="C4" s="1"/>
      <c r="E4" s="4"/>
      <c r="G4" s="4"/>
      <c r="J4" s="2"/>
      <c r="K4" s="2"/>
      <c r="L4" s="2"/>
    </row>
    <row r="5" spans="1:12" s="3" customFormat="1" ht="14.4" x14ac:dyDescent="0.3">
      <c r="A5" s="3" t="s">
        <v>32</v>
      </c>
      <c r="B5" s="6" t="s">
        <v>70</v>
      </c>
      <c r="C5" s="1">
        <v>100</v>
      </c>
      <c r="D5" s="1" t="s">
        <v>2</v>
      </c>
      <c r="E5" s="4">
        <v>1.35</v>
      </c>
      <c r="F5" s="3">
        <v>2</v>
      </c>
      <c r="G5" s="4">
        <f t="shared" ref="G5:G26" si="0">E5*F5/C5</f>
        <v>2.7000000000000003E-2</v>
      </c>
      <c r="I5" s="3">
        <f>F5*$A$29/C5</f>
        <v>4</v>
      </c>
      <c r="J5" s="2">
        <f t="shared" ref="J5:J26" si="1">I5*E5</f>
        <v>5.4</v>
      </c>
      <c r="K5" s="2"/>
      <c r="L5" s="2"/>
    </row>
    <row r="6" spans="1:12" s="3" customFormat="1" x14ac:dyDescent="0.25">
      <c r="C6" s="1"/>
      <c r="D6" s="1"/>
      <c r="E6" s="2"/>
      <c r="F6" s="1"/>
      <c r="G6" s="4"/>
      <c r="H6" s="1"/>
      <c r="J6" s="2"/>
      <c r="K6" s="2"/>
      <c r="L6" s="2"/>
    </row>
    <row r="7" spans="1:12" ht="14.4" x14ac:dyDescent="0.3">
      <c r="A7" s="1" t="s">
        <v>106</v>
      </c>
      <c r="B7" s="6" t="s">
        <v>70</v>
      </c>
      <c r="C7" s="1">
        <v>50</v>
      </c>
      <c r="D7" s="1" t="s">
        <v>1</v>
      </c>
      <c r="E7" s="2">
        <v>0.88</v>
      </c>
      <c r="F7" s="1">
        <v>3</v>
      </c>
      <c r="G7" s="4">
        <f t="shared" si="0"/>
        <v>5.28E-2</v>
      </c>
      <c r="H7" s="3"/>
      <c r="I7" s="3">
        <f>F7*$A$29/C7</f>
        <v>12</v>
      </c>
      <c r="J7" s="2">
        <f t="shared" si="1"/>
        <v>10.56</v>
      </c>
      <c r="K7" s="2"/>
      <c r="L7" s="2"/>
    </row>
    <row r="8" spans="1:12" ht="14.4" x14ac:dyDescent="0.3">
      <c r="A8" s="3" t="s">
        <v>84</v>
      </c>
      <c r="B8" s="11" t="s">
        <v>70</v>
      </c>
      <c r="C8" s="1">
        <v>100</v>
      </c>
      <c r="D8" s="1" t="s">
        <v>1</v>
      </c>
      <c r="E8" s="2">
        <v>3.84</v>
      </c>
      <c r="F8" s="1">
        <v>1</v>
      </c>
      <c r="G8" s="4">
        <f t="shared" si="0"/>
        <v>3.8399999999999997E-2</v>
      </c>
      <c r="H8" s="3"/>
      <c r="I8" s="3">
        <f>F8*$A$29/C8</f>
        <v>2</v>
      </c>
      <c r="J8" s="2">
        <f t="shared" si="1"/>
        <v>7.68</v>
      </c>
      <c r="K8" s="2"/>
    </row>
    <row r="9" spans="1:12" x14ac:dyDescent="0.25">
      <c r="A9" s="7"/>
      <c r="C9" s="8"/>
      <c r="D9" s="8"/>
      <c r="E9" s="9"/>
      <c r="F9" s="8"/>
      <c r="G9" s="4"/>
      <c r="H9" s="8"/>
      <c r="I9" s="3"/>
      <c r="J9" s="2"/>
      <c r="K9" s="2"/>
    </row>
    <row r="10" spans="1:12" ht="14.4" x14ac:dyDescent="0.3">
      <c r="A10" s="3" t="s">
        <v>100</v>
      </c>
      <c r="B10" s="6" t="s">
        <v>70</v>
      </c>
      <c r="C10" s="1">
        <v>100</v>
      </c>
      <c r="D10" s="8" t="s">
        <v>101</v>
      </c>
      <c r="E10" s="9">
        <v>9.5</v>
      </c>
      <c r="F10" s="8">
        <v>1</v>
      </c>
      <c r="G10" s="4">
        <f t="shared" si="0"/>
        <v>9.5000000000000001E-2</v>
      </c>
      <c r="H10" s="8"/>
      <c r="I10" s="3">
        <f>F10*$A$29/C10</f>
        <v>2</v>
      </c>
      <c r="J10" s="2">
        <f t="shared" si="1"/>
        <v>19</v>
      </c>
      <c r="K10" s="2"/>
    </row>
    <row r="11" spans="1:12" ht="14.4" x14ac:dyDescent="0.3">
      <c r="A11" s="3" t="s">
        <v>44</v>
      </c>
      <c r="B11" s="6" t="s">
        <v>70</v>
      </c>
      <c r="C11" s="1">
        <v>100</v>
      </c>
      <c r="D11" s="1" t="s">
        <v>48</v>
      </c>
      <c r="E11" s="2">
        <v>10.3</v>
      </c>
      <c r="F11" s="1">
        <v>2</v>
      </c>
      <c r="G11" s="4">
        <f t="shared" si="0"/>
        <v>0.20600000000000002</v>
      </c>
      <c r="H11" s="3"/>
      <c r="I11" s="3">
        <f>F11*$A$29/C11</f>
        <v>4</v>
      </c>
      <c r="J11" s="2">
        <f t="shared" si="1"/>
        <v>41.2</v>
      </c>
      <c r="K11" s="2"/>
    </row>
    <row r="12" spans="1:12" ht="14.4" x14ac:dyDescent="0.3">
      <c r="A12" s="3" t="s">
        <v>50</v>
      </c>
      <c r="B12" s="6" t="s">
        <v>70</v>
      </c>
      <c r="C12" s="1">
        <v>50</v>
      </c>
      <c r="D12" s="1" t="s">
        <v>52</v>
      </c>
      <c r="E12" s="2">
        <v>1.52</v>
      </c>
      <c r="F12" s="1">
        <v>1</v>
      </c>
      <c r="G12" s="4">
        <f t="shared" si="0"/>
        <v>3.04E-2</v>
      </c>
      <c r="H12" s="3"/>
      <c r="I12" s="3">
        <f>F12*$A$29/C12</f>
        <v>4</v>
      </c>
      <c r="J12" s="2">
        <f t="shared" si="1"/>
        <v>6.08</v>
      </c>
      <c r="K12" s="2"/>
    </row>
    <row r="13" spans="1:12" x14ac:dyDescent="0.25">
      <c r="A13" s="3"/>
      <c r="G13" s="4"/>
      <c r="I13" s="3"/>
      <c r="J13" s="2"/>
      <c r="K13" s="2"/>
    </row>
    <row r="14" spans="1:12" ht="14.4" x14ac:dyDescent="0.3">
      <c r="A14" s="3" t="s">
        <v>107</v>
      </c>
      <c r="B14" s="6" t="s">
        <v>70</v>
      </c>
      <c r="C14" s="1">
        <v>50</v>
      </c>
      <c r="D14" s="1" t="s">
        <v>1</v>
      </c>
      <c r="E14" s="2">
        <v>4.4000000000000004</v>
      </c>
      <c r="F14" s="1">
        <v>3</v>
      </c>
      <c r="G14" s="4">
        <f t="shared" si="0"/>
        <v>0.26400000000000001</v>
      </c>
      <c r="H14" s="3"/>
      <c r="I14" s="3">
        <f>F14*$A$29/C14</f>
        <v>12</v>
      </c>
      <c r="J14" s="2">
        <f t="shared" si="1"/>
        <v>52.800000000000004</v>
      </c>
      <c r="K14" s="2"/>
    </row>
    <row r="15" spans="1:12" ht="14.4" x14ac:dyDescent="0.3">
      <c r="A15" s="3" t="s">
        <v>109</v>
      </c>
      <c r="B15" s="6" t="s">
        <v>70</v>
      </c>
      <c r="C15" s="1">
        <v>50</v>
      </c>
      <c r="D15" s="5" t="s">
        <v>71</v>
      </c>
      <c r="E15" s="2">
        <v>0.68</v>
      </c>
      <c r="F15" s="1">
        <v>3</v>
      </c>
      <c r="G15" s="4">
        <f t="shared" si="0"/>
        <v>4.0800000000000003E-2</v>
      </c>
      <c r="I15" s="3">
        <f>F15*$A$29/C15</f>
        <v>12</v>
      </c>
      <c r="J15" s="2">
        <f t="shared" si="1"/>
        <v>8.16</v>
      </c>
      <c r="K15" s="2"/>
    </row>
    <row r="16" spans="1:12" ht="14.4" x14ac:dyDescent="0.3">
      <c r="A16" s="3" t="s">
        <v>108</v>
      </c>
      <c r="B16" s="6" t="s">
        <v>70</v>
      </c>
      <c r="C16" s="1">
        <v>100</v>
      </c>
      <c r="D16" s="1" t="s">
        <v>72</v>
      </c>
      <c r="E16" s="2">
        <v>2.56</v>
      </c>
      <c r="F16" s="1">
        <v>3</v>
      </c>
      <c r="G16" s="4">
        <f t="shared" si="0"/>
        <v>7.6799999999999993E-2</v>
      </c>
      <c r="I16" s="3">
        <f>F16*$A$29/C16</f>
        <v>6</v>
      </c>
      <c r="J16" s="2">
        <f t="shared" si="1"/>
        <v>15.36</v>
      </c>
      <c r="K16" s="2"/>
    </row>
    <row r="17" spans="1:13" x14ac:dyDescent="0.25">
      <c r="G17" s="4"/>
      <c r="H17" s="3"/>
      <c r="I17" s="3"/>
      <c r="J17" s="2"/>
      <c r="K17" s="2"/>
    </row>
    <row r="18" spans="1:13" s="3" customFormat="1" ht="14.4" x14ac:dyDescent="0.3">
      <c r="A18" s="3" t="s">
        <v>33</v>
      </c>
      <c r="B18" s="6" t="s">
        <v>70</v>
      </c>
      <c r="C18" s="1">
        <v>100</v>
      </c>
      <c r="D18" s="3" t="s">
        <v>5</v>
      </c>
      <c r="E18" s="4">
        <v>0.6</v>
      </c>
      <c r="F18" s="3">
        <v>3</v>
      </c>
      <c r="G18" s="4">
        <f t="shared" si="0"/>
        <v>1.7999999999999999E-2</v>
      </c>
      <c r="I18" s="3">
        <f>F18*$A$29/C18</f>
        <v>6</v>
      </c>
      <c r="J18" s="2">
        <f t="shared" si="1"/>
        <v>3.5999999999999996</v>
      </c>
      <c r="K18" s="2"/>
      <c r="L18" s="2"/>
    </row>
    <row r="19" spans="1:13" s="3" customFormat="1" ht="14.4" x14ac:dyDescent="0.3">
      <c r="A19" s="3" t="s">
        <v>41</v>
      </c>
      <c r="B19" s="6" t="s">
        <v>70</v>
      </c>
      <c r="C19" s="1">
        <v>100</v>
      </c>
      <c r="D19" s="3" t="s">
        <v>5</v>
      </c>
      <c r="E19" s="4">
        <v>0.6</v>
      </c>
      <c r="F19" s="1">
        <v>1</v>
      </c>
      <c r="G19" s="4">
        <f t="shared" si="0"/>
        <v>6.0000000000000001E-3</v>
      </c>
      <c r="I19" s="3">
        <f>F19*$A$29/C19</f>
        <v>2</v>
      </c>
      <c r="J19" s="2">
        <f t="shared" si="1"/>
        <v>1.2</v>
      </c>
      <c r="K19" s="2"/>
      <c r="L19" s="2"/>
    </row>
    <row r="20" spans="1:13" s="3" customFormat="1" ht="14.4" x14ac:dyDescent="0.3">
      <c r="A20" s="3" t="s">
        <v>34</v>
      </c>
      <c r="B20" s="6" t="s">
        <v>70</v>
      </c>
      <c r="C20" s="1">
        <v>100</v>
      </c>
      <c r="D20" s="3" t="s">
        <v>5</v>
      </c>
      <c r="E20" s="4">
        <v>0.6</v>
      </c>
      <c r="F20" s="3">
        <v>1</v>
      </c>
      <c r="G20" s="4">
        <f t="shared" si="0"/>
        <v>6.0000000000000001E-3</v>
      </c>
      <c r="I20" s="3">
        <f>F20*$A$29/C20</f>
        <v>2</v>
      </c>
      <c r="J20" s="2">
        <f t="shared" si="1"/>
        <v>1.2</v>
      </c>
      <c r="K20" s="2"/>
      <c r="L20" s="2"/>
    </row>
    <row r="21" spans="1:13" s="3" customFormat="1" ht="14.4" x14ac:dyDescent="0.3">
      <c r="A21" s="7"/>
      <c r="B21" s="6"/>
      <c r="C21" s="8"/>
      <c r="D21" s="8"/>
      <c r="E21" s="9"/>
      <c r="F21" s="8"/>
      <c r="G21" s="9"/>
      <c r="H21" s="8"/>
      <c r="I21" s="7"/>
      <c r="J21" s="9"/>
      <c r="K21" s="2"/>
      <c r="L21" s="2"/>
    </row>
    <row r="22" spans="1:13" s="3" customFormat="1" ht="14.4" x14ac:dyDescent="0.3">
      <c r="A22" s="3" t="s">
        <v>111</v>
      </c>
      <c r="B22" s="6" t="s">
        <v>70</v>
      </c>
      <c r="C22" s="8">
        <v>100</v>
      </c>
      <c r="D22" s="1" t="s">
        <v>82</v>
      </c>
      <c r="E22" s="9">
        <v>5.0999999999999996</v>
      </c>
      <c r="F22" s="8">
        <v>1</v>
      </c>
      <c r="G22" s="4">
        <f t="shared" si="0"/>
        <v>5.0999999999999997E-2</v>
      </c>
      <c r="H22" s="8"/>
      <c r="I22" s="3">
        <v>1</v>
      </c>
      <c r="J22" s="2">
        <f t="shared" si="1"/>
        <v>5.0999999999999996</v>
      </c>
      <c r="K22" s="2"/>
      <c r="L22" s="2"/>
    </row>
    <row r="23" spans="1:13" s="3" customFormat="1" ht="14.4" x14ac:dyDescent="0.3">
      <c r="A23" s="7" t="s">
        <v>73</v>
      </c>
      <c r="B23" s="6" t="s">
        <v>70</v>
      </c>
      <c r="C23" s="8">
        <v>10</v>
      </c>
      <c r="D23" s="8" t="s">
        <v>1</v>
      </c>
      <c r="E23" s="9">
        <v>11.2</v>
      </c>
      <c r="F23" s="8">
        <v>1</v>
      </c>
      <c r="G23" s="4">
        <f t="shared" si="0"/>
        <v>1.1199999999999999</v>
      </c>
      <c r="H23" s="8"/>
      <c r="I23" s="3">
        <f>F23*$A$29/C23</f>
        <v>20</v>
      </c>
      <c r="J23" s="2">
        <f t="shared" si="1"/>
        <v>224</v>
      </c>
      <c r="K23" s="2"/>
      <c r="L23" s="2"/>
    </row>
    <row r="24" spans="1:13" s="3" customFormat="1" ht="14.4" x14ac:dyDescent="0.3">
      <c r="A24" s="7" t="s">
        <v>99</v>
      </c>
      <c r="B24" s="6" t="s">
        <v>70</v>
      </c>
      <c r="C24" s="8">
        <v>100</v>
      </c>
      <c r="D24" s="8" t="s">
        <v>1</v>
      </c>
      <c r="E24" s="9">
        <v>28</v>
      </c>
      <c r="F24" s="8">
        <v>1</v>
      </c>
      <c r="G24" s="4">
        <f t="shared" si="0"/>
        <v>0.28000000000000003</v>
      </c>
      <c r="H24" s="8"/>
      <c r="I24" s="3">
        <f>F24*$A$29/C24</f>
        <v>2</v>
      </c>
      <c r="J24" s="2">
        <f t="shared" si="1"/>
        <v>56</v>
      </c>
      <c r="K24" s="2"/>
      <c r="L24" s="2"/>
    </row>
    <row r="25" spans="1:13" s="3" customFormat="1" ht="14.4" x14ac:dyDescent="0.3">
      <c r="A25" s="7"/>
      <c r="B25" s="6"/>
      <c r="C25" s="8"/>
      <c r="D25" s="8"/>
      <c r="E25" s="9"/>
      <c r="F25" s="8"/>
      <c r="G25" s="4"/>
      <c r="H25" s="8"/>
      <c r="J25" s="2"/>
      <c r="K25" s="2"/>
      <c r="L25" s="2"/>
    </row>
    <row r="26" spans="1:13" ht="14.4" x14ac:dyDescent="0.3">
      <c r="A26" s="1" t="s">
        <v>103</v>
      </c>
      <c r="B26" s="6" t="s">
        <v>70</v>
      </c>
      <c r="C26" s="1">
        <v>100</v>
      </c>
      <c r="D26" s="1" t="s">
        <v>1</v>
      </c>
      <c r="E26" s="2">
        <v>107.68</v>
      </c>
      <c r="F26" s="1">
        <v>1</v>
      </c>
      <c r="G26" s="4">
        <f t="shared" si="0"/>
        <v>1.0768</v>
      </c>
      <c r="H26" s="3"/>
      <c r="I26" s="3">
        <f>F26*$A$29/C26</f>
        <v>2</v>
      </c>
      <c r="J26" s="2">
        <f t="shared" si="1"/>
        <v>215.36</v>
      </c>
    </row>
    <row r="27" spans="1:13" ht="14.4" x14ac:dyDescent="0.3">
      <c r="A27" s="7"/>
      <c r="B27" s="6"/>
      <c r="C27" s="8"/>
      <c r="D27" s="8"/>
      <c r="E27" s="9"/>
      <c r="F27" s="8"/>
      <c r="G27" s="9"/>
      <c r="H27" s="8"/>
      <c r="I27" s="3"/>
      <c r="J27" s="9"/>
    </row>
    <row r="28" spans="1:13" x14ac:dyDescent="0.25">
      <c r="A28" s="1" t="s">
        <v>35</v>
      </c>
      <c r="E28" s="2">
        <f>SUM(G3:G26)</f>
        <v>3.4294999999999995</v>
      </c>
      <c r="F28" s="1">
        <v>1</v>
      </c>
      <c r="G28" s="2">
        <f>E28*F28</f>
        <v>3.4294999999999995</v>
      </c>
      <c r="I28" s="3"/>
      <c r="J28" s="2">
        <f>SUM(J4:J26)</f>
        <v>672.7</v>
      </c>
      <c r="K28" s="2"/>
      <c r="M28" s="2"/>
    </row>
    <row r="29" spans="1:13" x14ac:dyDescent="0.25">
      <c r="A29" s="1">
        <v>200</v>
      </c>
      <c r="I29" s="3"/>
      <c r="J29" s="2"/>
      <c r="K29" s="2"/>
      <c r="M29" s="2"/>
    </row>
    <row r="30" spans="1:13" x14ac:dyDescent="0.25">
      <c r="K30" s="2"/>
    </row>
    <row r="32" spans="1:13" x14ac:dyDescent="0.25">
      <c r="A32" s="3"/>
      <c r="B32" s="3"/>
    </row>
  </sheetData>
  <mergeCells count="1">
    <mergeCell ref="A1:J1"/>
  </mergeCells>
  <conditionalFormatting sqref="A3:A29">
    <cfRule type="containsText" dxfId="0" priority="1" operator="containsText" text="DONE">
      <formula>NOT(ISERROR(SEARCH("DONE",A3)))</formula>
    </cfRule>
  </conditionalFormatting>
  <hyperlinks>
    <hyperlink ref="B7" r:id="rId1" xr:uid="{00000000-0004-0000-0100-000000000000}"/>
    <hyperlink ref="B11" r:id="rId2" xr:uid="{00000000-0004-0000-0100-000001000000}"/>
    <hyperlink ref="B12" r:id="rId3" xr:uid="{00000000-0004-0000-0100-000002000000}"/>
    <hyperlink ref="B14" r:id="rId4" xr:uid="{00000000-0004-0000-0100-000003000000}"/>
    <hyperlink ref="B16" r:id="rId5" xr:uid="{00000000-0004-0000-0100-000004000000}"/>
    <hyperlink ref="B5" r:id="rId6" xr:uid="{00000000-0004-0000-0100-000005000000}"/>
    <hyperlink ref="B3" r:id="rId7" xr:uid="{00000000-0004-0000-0100-000006000000}"/>
    <hyperlink ref="B8" r:id="rId8" xr:uid="{00000000-0004-0000-0100-000007000000}"/>
    <hyperlink ref="B24" r:id="rId9" xr:uid="{00000000-0004-0000-0100-000008000000}"/>
    <hyperlink ref="B10" r:id="rId10" xr:uid="{00000000-0004-0000-0100-000009000000}"/>
    <hyperlink ref="B26" r:id="rId11" xr:uid="{00000000-0004-0000-0100-00000A000000}"/>
    <hyperlink ref="B15" r:id="rId12" xr:uid="{00000000-0004-0000-0100-00000B000000}"/>
    <hyperlink ref="B20" r:id="rId13" xr:uid="{00000000-0004-0000-0100-00000C000000}"/>
    <hyperlink ref="B19" r:id="rId14" xr:uid="{00000000-0004-0000-0100-00000D000000}"/>
    <hyperlink ref="B18" r:id="rId15" xr:uid="{00000000-0004-0000-0100-00000E000000}"/>
    <hyperlink ref="B23" r:id="rId16" xr:uid="{00000000-0004-0000-0100-00000F000000}"/>
    <hyperlink ref="B22" r:id="rId17" xr:uid="{00000000-0004-0000-0100-000010000000}"/>
  </hyperlinks>
  <pageMargins left="0.7" right="0.7" top="0.75" bottom="0.75" header="0.3" footer="0.3"/>
  <pageSetup orientation="portrait" horizontalDpi="4294967293" verticalDpi="0" r:id="rId18"/>
  <tableParts count="1"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Digikey</vt:lpstr>
      <vt:lpstr>AliExpress</vt:lpstr>
    </vt:vector>
  </TitlesOfParts>
  <Company>Home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Old Computer</dc:creator>
  <cp:lastModifiedBy>Christopher Coulston</cp:lastModifiedBy>
  <cp:lastPrinted>2021-02-09T21:34:46Z</cp:lastPrinted>
  <dcterms:created xsi:type="dcterms:W3CDTF">2009-07-11T01:09:42Z</dcterms:created>
  <dcterms:modified xsi:type="dcterms:W3CDTF">2025-06-05T14:30:14Z</dcterms:modified>
</cp:coreProperties>
</file>